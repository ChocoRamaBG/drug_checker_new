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thealth-my.sharepoint.com/personal/georgi_stoychev_sathealth_com/Documents/Projects/Drug Price Checker/"/>
    </mc:Choice>
  </mc:AlternateContent>
  <xr:revisionPtr revIDLastSave="21" documentId="8_{205E4F74-7D8C-4493-BC86-723E39909757}" xr6:coauthVersionLast="47" xr6:coauthVersionMax="47" xr10:uidLastSave="{1090116F-E1ED-4E03-9DCE-9E9419010A74}"/>
  <bookViews>
    <workbookView xWindow="-120" yWindow="-120" windowWidth="29040" windowHeight="15720" xr2:uid="{0DFA91F5-2E46-4ED3-B0FB-D20849BDC458}"/>
  </bookViews>
  <sheets>
    <sheet name="Цени" sheetId="1" r:id="rId1"/>
    <sheet name="ПБР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2" l="1"/>
  <c r="G23" i="2"/>
</calcChain>
</file>

<file path=xl/sharedStrings.xml><?xml version="1.0" encoding="utf-8"?>
<sst xmlns="http://schemas.openxmlformats.org/spreadsheetml/2006/main" count="174" uniqueCount="80">
  <si>
    <t>Код НЗОК</t>
  </si>
  <si>
    <t>Код на Съвета</t>
  </si>
  <si>
    <t>Цена търговец на едро с ДДС в евро</t>
  </si>
  <si>
    <t>LH721</t>
  </si>
  <si>
    <t>LH722</t>
  </si>
  <si>
    <t>LH773</t>
  </si>
  <si>
    <t>CA291</t>
  </si>
  <si>
    <t>AF686</t>
  </si>
  <si>
    <t>AF684</t>
  </si>
  <si>
    <t>LH777</t>
  </si>
  <si>
    <t>LH778</t>
  </si>
  <si>
    <t>LH779</t>
  </si>
  <si>
    <t>JF594</t>
  </si>
  <si>
    <t>LH772</t>
  </si>
  <si>
    <t>НЗОК</t>
  </si>
  <si>
    <t>Лек. Форма</t>
  </si>
  <si>
    <t>Брой в опак.</t>
  </si>
  <si>
    <t>Концентрация на лек. В-во</t>
  </si>
  <si>
    <t>ПБР</t>
  </si>
  <si>
    <t xml:space="preserve">Забележка </t>
  </si>
  <si>
    <t>Lyvdelzi</t>
  </si>
  <si>
    <t>Capsule, hard</t>
  </si>
  <si>
    <t>30 Bottle (HDPE)</t>
  </si>
  <si>
    <t>10 mg</t>
  </si>
  <si>
    <t>Cufence</t>
  </si>
  <si>
    <t>100 Bottle (glass)</t>
  </si>
  <si>
    <t>200 mg</t>
  </si>
  <si>
    <t>55312-55313</t>
  </si>
  <si>
    <t>BH146-BH147</t>
  </si>
  <si>
    <t>Veyvondi</t>
  </si>
  <si>
    <t xml:space="preserve">Powder and solvent for solution for injection  </t>
  </si>
  <si>
    <t>vial + vial + reconstitution device</t>
  </si>
  <si>
    <t xml:space="preserve">650 IU и 1300 </t>
  </si>
  <si>
    <t>за двата продукта заедно</t>
  </si>
  <si>
    <t>Evkeeza</t>
  </si>
  <si>
    <t>Concentrate for solution for infusion</t>
  </si>
  <si>
    <t>1 Vial</t>
  </si>
  <si>
    <t>150 mg/ml - 2.3 ml</t>
  </si>
  <si>
    <t>Hepcludex</t>
  </si>
  <si>
    <t>Powder for solution for injection</t>
  </si>
  <si>
    <t>2 mg</t>
  </si>
  <si>
    <t>30 Vial</t>
  </si>
  <si>
    <t>53839 - 53841</t>
  </si>
  <si>
    <t>Rubraca</t>
  </si>
  <si>
    <t>Film-coated tablet</t>
  </si>
  <si>
    <t>300 mg</t>
  </si>
  <si>
    <t>60 Bottle</t>
  </si>
  <si>
    <t>за трите продукта заедно</t>
  </si>
  <si>
    <t>54428 - 54429</t>
  </si>
  <si>
    <t>LH780 - LH781</t>
  </si>
  <si>
    <t>Sylvant</t>
  </si>
  <si>
    <t>Powder for concentrate for solution for infusion</t>
  </si>
  <si>
    <t>100 mg</t>
  </si>
  <si>
    <t>Tepkinly</t>
  </si>
  <si>
    <t>Solution for injection</t>
  </si>
  <si>
    <t>48 mg (60 mg/ml - 0.8 ml)</t>
  </si>
  <si>
    <t>Elahere</t>
  </si>
  <si>
    <t>5 mg/ml - 20 ml</t>
  </si>
  <si>
    <t>LH680</t>
  </si>
  <si>
    <t>Pemazyre</t>
  </si>
  <si>
    <t>Tablet</t>
  </si>
  <si>
    <t>14 Blister</t>
  </si>
  <si>
    <t>4,5 mg</t>
  </si>
  <si>
    <t>LF382</t>
  </si>
  <si>
    <t>Rystiggo</t>
  </si>
  <si>
    <t>X1 vial</t>
  </si>
  <si>
    <t>140 mg/ml - 2 ml</t>
  </si>
  <si>
    <t>63667, 63669, 63672</t>
  </si>
  <si>
    <t>LF383 - LF385</t>
  </si>
  <si>
    <t>Zilbrysq</t>
  </si>
  <si>
    <t>16.6 mg/0.416 ml (40 mg/ml)</t>
  </si>
  <si>
    <t>7 Pre-filled syringe</t>
  </si>
  <si>
    <t>63676, 63678</t>
  </si>
  <si>
    <t>Elrexfio</t>
  </si>
  <si>
    <t>40 mg/ml - 1.9 ml и 1.9 ml</t>
  </si>
  <si>
    <t>Наименование</t>
  </si>
  <si>
    <t>LH724 - LH725</t>
  </si>
  <si>
    <t>LF384</t>
  </si>
  <si>
    <t>LF385</t>
  </si>
  <si>
    <t>LF383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</si>
</sst>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4" fontId="1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4" fontId="1" fillId="0" borderId="2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2" borderId="1" xfId="0" applyFont="1" applyFill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4" fontId="1" fillId="0" borderId="4" xfId="0" applyNumberFormat="1" applyFont="1" applyBorder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9FCF2-DF2E-4872-AD47-FAFAA3ABE93F}">
  <dimension ref="A1:C37"/>
  <sheetViews>
    <sheetView tabSelected="1" zoomScale="115" zoomScaleNormal="115" workbookViewId="0">
      <selection activeCell="C5" sqref="C5"/>
    </sheetView>
  </sheetViews>
  <sheetFormatPr defaultRowHeight="15" x14ac:dyDescent="0.25"/>
  <cols>
    <col min="1" max="2" width="10.28515625" customWidth="1"/>
    <col min="3" max="3" width="14.85546875" customWidth="1"/>
  </cols>
  <sheetData>
    <row r="1" spans="1:3" ht="24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63750</v>
      </c>
      <c r="C2" s="3">
        <v>6822.31</v>
      </c>
    </row>
    <row r="3" spans="1:3" x14ac:dyDescent="0.25">
      <c r="A3" s="2" t="s">
        <v>4</v>
      </c>
      <c r="B3" s="2">
        <v>64344</v>
      </c>
      <c r="C3" s="3">
        <v>2410.002</v>
      </c>
    </row>
    <row r="4" spans="1:3" x14ac:dyDescent="0.25">
      <c r="A4" s="2" t="s">
        <v>5</v>
      </c>
      <c r="B4" s="2">
        <v>64365</v>
      </c>
      <c r="C4" s="3">
        <v>250000</v>
      </c>
    </row>
    <row r="5" spans="1:3" x14ac:dyDescent="0.25">
      <c r="A5" s="2"/>
      <c r="B5" s="2"/>
      <c r="C5" s="3"/>
    </row>
    <row r="6" spans="1:3" x14ac:dyDescent="0.25">
      <c r="A6" s="2"/>
      <c r="B6" s="2"/>
      <c r="C6" s="3"/>
    </row>
    <row r="7" spans="1:3" x14ac:dyDescent="0.25">
      <c r="A7" s="2"/>
      <c r="B7" s="2"/>
      <c r="C7" s="3"/>
    </row>
    <row r="8" spans="1:3" x14ac:dyDescent="0.25">
      <c r="A8" s="2"/>
      <c r="B8" s="2"/>
      <c r="C8" s="3"/>
    </row>
    <row r="9" spans="1:3" x14ac:dyDescent="0.25">
      <c r="A9" s="2"/>
      <c r="B9" s="2"/>
      <c r="C9" s="3"/>
    </row>
    <row r="10" spans="1:3" x14ac:dyDescent="0.25">
      <c r="A10" s="2"/>
      <c r="B10" s="2"/>
      <c r="C10" s="3"/>
    </row>
    <row r="11" spans="1:3" x14ac:dyDescent="0.25">
      <c r="A11" s="2"/>
      <c r="B11" s="2"/>
      <c r="C11" s="3"/>
    </row>
    <row r="12" spans="1:3" x14ac:dyDescent="0.25">
      <c r="A12" s="2"/>
      <c r="B12" s="2"/>
      <c r="C12" s="3"/>
    </row>
    <row r="13" spans="1:3" x14ac:dyDescent="0.25">
      <c r="A13" s="2"/>
      <c r="B13" s="2"/>
      <c r="C13" s="3"/>
    </row>
    <row r="14" spans="1:3" x14ac:dyDescent="0.25">
      <c r="A14" s="2"/>
      <c r="B14" s="2"/>
      <c r="C14" s="3"/>
    </row>
    <row r="15" spans="1:3" x14ac:dyDescent="0.25">
      <c r="A15" s="2"/>
      <c r="B15" s="2"/>
      <c r="C15" s="3"/>
    </row>
    <row r="16" spans="1:3" x14ac:dyDescent="0.25">
      <c r="A16" s="2"/>
      <c r="B16" s="2"/>
      <c r="C16" s="3"/>
    </row>
    <row r="17" spans="1:3" x14ac:dyDescent="0.25">
      <c r="A17" s="2"/>
      <c r="B17" s="2"/>
      <c r="C17" s="3"/>
    </row>
    <row r="18" spans="1:3" x14ac:dyDescent="0.25">
      <c r="A18" s="2"/>
      <c r="B18" s="2"/>
    </row>
    <row r="19" spans="1:3" x14ac:dyDescent="0.25">
      <c r="A19" s="2"/>
      <c r="B19" s="2"/>
    </row>
    <row r="20" spans="1:3" x14ac:dyDescent="0.25">
      <c r="A20" s="2"/>
      <c r="B20" s="2"/>
    </row>
    <row r="21" spans="1:3" x14ac:dyDescent="0.25">
      <c r="A21" s="2"/>
      <c r="B21" s="2"/>
    </row>
    <row r="22" spans="1:3" x14ac:dyDescent="0.25">
      <c r="A22" s="2"/>
      <c r="B22" s="2"/>
    </row>
    <row r="23" spans="1:3" x14ac:dyDescent="0.25">
      <c r="A23" s="2"/>
      <c r="B23" s="2"/>
    </row>
    <row r="24" spans="1:3" x14ac:dyDescent="0.25">
      <c r="A24" s="2"/>
      <c r="B24" s="2"/>
    </row>
    <row r="25" spans="1:3" x14ac:dyDescent="0.25">
      <c r="A25" s="2"/>
      <c r="B25" s="2"/>
    </row>
    <row r="26" spans="1:3" x14ac:dyDescent="0.25">
      <c r="A26" s="2"/>
      <c r="B26" s="2"/>
    </row>
    <row r="27" spans="1:3" x14ac:dyDescent="0.25">
      <c r="A27" s="2"/>
      <c r="B27" s="2"/>
    </row>
    <row r="28" spans="1:3" x14ac:dyDescent="0.25">
      <c r="A28" s="2"/>
      <c r="B28" s="2"/>
    </row>
    <row r="29" spans="1:3" x14ac:dyDescent="0.25">
      <c r="A29" s="2"/>
      <c r="B29" s="2"/>
    </row>
    <row r="30" spans="1:3" x14ac:dyDescent="0.25">
      <c r="A30" s="2"/>
      <c r="B30" s="2"/>
    </row>
    <row r="31" spans="1:3" x14ac:dyDescent="0.25">
      <c r="A31" s="2"/>
      <c r="B31" s="2"/>
    </row>
    <row r="32" spans="1:3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</sheetData>
  <pageMargins left="0.7" right="0.7" top="0.75" bottom="0.75" header="0.3" footer="0.3"/>
  <headerFooter>
    <oddFooter>&amp;R_x000D_&amp;1#&amp;"Aptos"&amp;10&amp;K000000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48BEF-7E64-40B4-91B0-1F44F1758434}">
  <dimension ref="A1:H33"/>
  <sheetViews>
    <sheetView workbookViewId="0">
      <selection activeCell="C14" sqref="C14"/>
    </sheetView>
  </sheetViews>
  <sheetFormatPr defaultRowHeight="15" x14ac:dyDescent="0.25"/>
  <cols>
    <col min="1" max="1" width="12" customWidth="1"/>
    <col min="2" max="2" width="12.140625" bestFit="1" customWidth="1"/>
    <col min="3" max="3" width="11" customWidth="1"/>
    <col min="6" max="6" width="18.42578125" customWidth="1"/>
    <col min="7" max="7" width="11.28515625" customWidth="1"/>
  </cols>
  <sheetData>
    <row r="1" spans="1:8" ht="24" x14ac:dyDescent="0.25">
      <c r="A1" s="4" t="s">
        <v>1</v>
      </c>
      <c r="B1" s="4" t="s">
        <v>14</v>
      </c>
      <c r="C1" s="4" t="s">
        <v>75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spans="1:8" x14ac:dyDescent="0.25">
      <c r="A2" s="5">
        <v>67477</v>
      </c>
      <c r="B2" s="6" t="s">
        <v>8</v>
      </c>
      <c r="C2" s="7" t="s">
        <v>20</v>
      </c>
      <c r="D2" s="7" t="s">
        <v>21</v>
      </c>
      <c r="E2" s="8" t="s">
        <v>22</v>
      </c>
      <c r="F2" s="7" t="s">
        <v>23</v>
      </c>
      <c r="G2" s="9">
        <v>284734.44010982552</v>
      </c>
    </row>
    <row r="3" spans="1:8" x14ac:dyDescent="0.25">
      <c r="A3" s="10">
        <v>67477</v>
      </c>
      <c r="B3" s="10" t="s">
        <v>8</v>
      </c>
      <c r="C3" s="11" t="s">
        <v>20</v>
      </c>
      <c r="D3" s="11" t="s">
        <v>21</v>
      </c>
      <c r="E3" s="12" t="s">
        <v>22</v>
      </c>
      <c r="F3" s="11" t="s">
        <v>23</v>
      </c>
      <c r="G3" s="13">
        <v>577773.63</v>
      </c>
    </row>
    <row r="4" spans="1:8" x14ac:dyDescent="0.25">
      <c r="A4" s="10">
        <v>67477</v>
      </c>
      <c r="B4" s="10" t="s">
        <v>8</v>
      </c>
      <c r="C4" s="11" t="s">
        <v>20</v>
      </c>
      <c r="D4" s="11" t="s">
        <v>21</v>
      </c>
      <c r="E4" s="12" t="s">
        <v>22</v>
      </c>
      <c r="F4" s="11" t="s">
        <v>23</v>
      </c>
      <c r="G4" s="13">
        <v>577775</v>
      </c>
    </row>
    <row r="5" spans="1:8" x14ac:dyDescent="0.25">
      <c r="A5" s="10">
        <v>47111</v>
      </c>
      <c r="B5" s="14" t="s">
        <v>7</v>
      </c>
      <c r="C5" s="11" t="s">
        <v>24</v>
      </c>
      <c r="D5" s="11" t="s">
        <v>21</v>
      </c>
      <c r="E5" s="12" t="s">
        <v>25</v>
      </c>
      <c r="F5" s="11" t="s">
        <v>26</v>
      </c>
      <c r="G5" s="13">
        <v>494287.84710327588</v>
      </c>
    </row>
    <row r="6" spans="1:8" x14ac:dyDescent="0.25">
      <c r="A6" s="10" t="s">
        <v>27</v>
      </c>
      <c r="B6" s="14" t="s">
        <v>28</v>
      </c>
      <c r="C6" s="11" t="s">
        <v>29</v>
      </c>
      <c r="D6" s="11" t="s">
        <v>30</v>
      </c>
      <c r="E6" s="12" t="s">
        <v>31</v>
      </c>
      <c r="F6" s="11" t="s">
        <v>32</v>
      </c>
      <c r="G6" s="13">
        <v>50711.462652684539</v>
      </c>
      <c r="H6" s="15" t="s">
        <v>33</v>
      </c>
    </row>
    <row r="7" spans="1:8" x14ac:dyDescent="0.25">
      <c r="A7" s="10">
        <v>48152</v>
      </c>
      <c r="B7" s="14" t="s">
        <v>6</v>
      </c>
      <c r="C7" s="11" t="s">
        <v>34</v>
      </c>
      <c r="D7" s="11" t="s">
        <v>35</v>
      </c>
      <c r="E7" s="12" t="s">
        <v>36</v>
      </c>
      <c r="F7" s="11" t="s">
        <v>37</v>
      </c>
      <c r="G7" s="13">
        <v>940991.190440887</v>
      </c>
    </row>
    <row r="8" spans="1:8" x14ac:dyDescent="0.25">
      <c r="A8" s="10">
        <v>48152</v>
      </c>
      <c r="B8" s="10" t="s">
        <v>6</v>
      </c>
      <c r="C8" s="11" t="s">
        <v>34</v>
      </c>
      <c r="D8" s="11" t="s">
        <v>35</v>
      </c>
      <c r="E8" s="12" t="s">
        <v>36</v>
      </c>
      <c r="F8" s="11" t="s">
        <v>37</v>
      </c>
      <c r="G8" s="13">
        <v>940993</v>
      </c>
    </row>
    <row r="9" spans="1:8" x14ac:dyDescent="0.25">
      <c r="A9" s="10">
        <v>48747</v>
      </c>
      <c r="B9" s="14" t="s">
        <v>12</v>
      </c>
      <c r="C9" s="11" t="s">
        <v>38</v>
      </c>
      <c r="D9" s="11" t="s">
        <v>39</v>
      </c>
      <c r="E9" s="12" t="s">
        <v>40</v>
      </c>
      <c r="F9" s="11" t="s">
        <v>41</v>
      </c>
      <c r="G9" s="13">
        <v>260655.17</v>
      </c>
    </row>
    <row r="10" spans="1:8" x14ac:dyDescent="0.25">
      <c r="A10" s="10">
        <v>48747</v>
      </c>
      <c r="B10" s="10" t="s">
        <v>12</v>
      </c>
      <c r="C10" s="11" t="s">
        <v>38</v>
      </c>
      <c r="D10" s="11" t="s">
        <v>39</v>
      </c>
      <c r="E10" s="12" t="s">
        <v>40</v>
      </c>
      <c r="F10" s="11" t="s">
        <v>41</v>
      </c>
      <c r="G10" s="13">
        <v>649120.23</v>
      </c>
    </row>
    <row r="11" spans="1:8" x14ac:dyDescent="0.25">
      <c r="A11" s="10">
        <v>48747</v>
      </c>
      <c r="B11" s="10" t="s">
        <v>12</v>
      </c>
      <c r="C11" s="11" t="s">
        <v>38</v>
      </c>
      <c r="D11" s="11" t="s">
        <v>39</v>
      </c>
      <c r="E11" s="12" t="s">
        <v>40</v>
      </c>
      <c r="F11" s="11" t="s">
        <v>41</v>
      </c>
      <c r="G11" s="13">
        <v>649122</v>
      </c>
    </row>
    <row r="12" spans="1:8" x14ac:dyDescent="0.25">
      <c r="A12" s="10" t="s">
        <v>42</v>
      </c>
      <c r="B12" s="14" t="s">
        <v>9</v>
      </c>
      <c r="C12" s="11" t="s">
        <v>43</v>
      </c>
      <c r="D12" s="11" t="s">
        <v>44</v>
      </c>
      <c r="E12" s="12" t="s">
        <v>45</v>
      </c>
      <c r="F12" s="11" t="s">
        <v>46</v>
      </c>
      <c r="G12" s="17">
        <v>1081339.6256320847</v>
      </c>
      <c r="H12" s="15" t="s">
        <v>47</v>
      </c>
    </row>
    <row r="13" spans="1:8" x14ac:dyDescent="0.25">
      <c r="A13" s="10"/>
      <c r="B13" s="14" t="s">
        <v>10</v>
      </c>
      <c r="C13" s="11"/>
      <c r="D13" s="11"/>
      <c r="E13" s="12"/>
      <c r="F13" s="11"/>
      <c r="G13" s="18"/>
      <c r="H13" s="15"/>
    </row>
    <row r="14" spans="1:8" x14ac:dyDescent="0.25">
      <c r="A14" s="10"/>
      <c r="B14" s="14" t="s">
        <v>11</v>
      </c>
      <c r="C14" s="11"/>
      <c r="D14" s="11"/>
      <c r="E14" s="12"/>
      <c r="F14" s="11"/>
      <c r="G14" s="19"/>
      <c r="H14" s="15"/>
    </row>
    <row r="15" spans="1:8" x14ac:dyDescent="0.25">
      <c r="A15" s="10" t="s">
        <v>48</v>
      </c>
      <c r="B15" s="14" t="s">
        <v>49</v>
      </c>
      <c r="C15" s="11" t="s">
        <v>50</v>
      </c>
      <c r="D15" s="11" t="s">
        <v>51</v>
      </c>
      <c r="E15" s="12" t="s">
        <v>36</v>
      </c>
      <c r="F15" s="11" t="s">
        <v>52</v>
      </c>
      <c r="G15" s="13">
        <v>225125.90562574458</v>
      </c>
      <c r="H15" s="15" t="s">
        <v>33</v>
      </c>
    </row>
    <row r="16" spans="1:8" x14ac:dyDescent="0.25">
      <c r="A16" s="10" t="s">
        <v>48</v>
      </c>
      <c r="B16" s="10" t="s">
        <v>49</v>
      </c>
      <c r="C16" s="11" t="s">
        <v>50</v>
      </c>
      <c r="D16" s="11" t="s">
        <v>51</v>
      </c>
      <c r="E16" s="12" t="s">
        <v>36</v>
      </c>
      <c r="F16" s="11" t="s">
        <v>52</v>
      </c>
      <c r="G16" s="13">
        <v>281407.38203218073</v>
      </c>
    </row>
    <row r="17" spans="1:8" x14ac:dyDescent="0.25">
      <c r="A17" s="10" t="s">
        <v>48</v>
      </c>
      <c r="B17" s="10" t="s">
        <v>49</v>
      </c>
      <c r="C17" s="11" t="s">
        <v>50</v>
      </c>
      <c r="D17" s="11" t="s">
        <v>51</v>
      </c>
      <c r="E17" s="12" t="s">
        <v>36</v>
      </c>
      <c r="F17" s="11" t="s">
        <v>52</v>
      </c>
      <c r="G17" s="13">
        <v>337688.85843861685</v>
      </c>
    </row>
    <row r="18" spans="1:8" x14ac:dyDescent="0.25">
      <c r="A18" s="10" t="s">
        <v>48</v>
      </c>
      <c r="B18" s="10" t="s">
        <v>49</v>
      </c>
      <c r="C18" s="11" t="s">
        <v>50</v>
      </c>
      <c r="D18" s="11" t="s">
        <v>51</v>
      </c>
      <c r="E18" s="12" t="s">
        <v>36</v>
      </c>
      <c r="F18" s="11" t="s">
        <v>52</v>
      </c>
      <c r="G18" s="13">
        <v>337690</v>
      </c>
    </row>
    <row r="19" spans="1:8" x14ac:dyDescent="0.25">
      <c r="A19" s="10">
        <v>63750</v>
      </c>
      <c r="B19" s="14" t="s">
        <v>3</v>
      </c>
      <c r="C19" s="11" t="s">
        <v>53</v>
      </c>
      <c r="D19" s="11" t="s">
        <v>54</v>
      </c>
      <c r="E19" s="12" t="s">
        <v>36</v>
      </c>
      <c r="F19" s="11" t="s">
        <v>55</v>
      </c>
      <c r="G19" s="13">
        <v>2981812.1871532807</v>
      </c>
    </row>
    <row r="20" spans="1:8" x14ac:dyDescent="0.25">
      <c r="A20" s="10">
        <v>66570</v>
      </c>
      <c r="B20" s="14" t="s">
        <v>13</v>
      </c>
      <c r="C20" s="11" t="s">
        <v>56</v>
      </c>
      <c r="D20" s="11" t="s">
        <v>35</v>
      </c>
      <c r="E20" s="12" t="s">
        <v>36</v>
      </c>
      <c r="F20" s="11" t="s">
        <v>57</v>
      </c>
      <c r="G20" s="13">
        <v>5271027.3694544006</v>
      </c>
    </row>
    <row r="21" spans="1:8" x14ac:dyDescent="0.25">
      <c r="A21" s="10">
        <v>52144</v>
      </c>
      <c r="B21" s="14" t="s">
        <v>58</v>
      </c>
      <c r="C21" s="11" t="s">
        <v>59</v>
      </c>
      <c r="D21" s="11" t="s">
        <v>60</v>
      </c>
      <c r="E21" s="12" t="s">
        <v>61</v>
      </c>
      <c r="F21" s="11" t="s">
        <v>62</v>
      </c>
      <c r="G21" s="13">
        <v>750315</v>
      </c>
    </row>
    <row r="22" spans="1:8" x14ac:dyDescent="0.25">
      <c r="A22" s="10">
        <v>63613</v>
      </c>
      <c r="B22" s="14" t="s">
        <v>63</v>
      </c>
      <c r="C22" s="11" t="s">
        <v>64</v>
      </c>
      <c r="D22" s="11" t="s">
        <v>54</v>
      </c>
      <c r="E22" s="12" t="s">
        <v>65</v>
      </c>
      <c r="F22" s="11" t="s">
        <v>66</v>
      </c>
      <c r="G22" s="13">
        <v>1913056.3494782266</v>
      </c>
    </row>
    <row r="23" spans="1:8" x14ac:dyDescent="0.25">
      <c r="A23" s="10">
        <v>63613</v>
      </c>
      <c r="B23" s="10" t="s">
        <v>63</v>
      </c>
      <c r="C23" s="11" t="s">
        <v>64</v>
      </c>
      <c r="D23" s="11" t="s">
        <v>54</v>
      </c>
      <c r="E23" s="12" t="s">
        <v>65</v>
      </c>
      <c r="F23" s="11" t="s">
        <v>66</v>
      </c>
      <c r="G23" s="13">
        <f>G22*1.25</f>
        <v>2391320.4368477832</v>
      </c>
    </row>
    <row r="24" spans="1:8" x14ac:dyDescent="0.25">
      <c r="A24" s="10">
        <v>63613</v>
      </c>
      <c r="B24" s="10" t="s">
        <v>63</v>
      </c>
      <c r="C24" s="11" t="s">
        <v>64</v>
      </c>
      <c r="D24" s="11" t="s">
        <v>54</v>
      </c>
      <c r="E24" s="12" t="s">
        <v>65</v>
      </c>
      <c r="F24" s="11" t="s">
        <v>66</v>
      </c>
      <c r="G24" s="13">
        <f>G22*1.5</f>
        <v>2869584.5242173402</v>
      </c>
    </row>
    <row r="25" spans="1:8" x14ac:dyDescent="0.25">
      <c r="A25" s="10">
        <v>63613</v>
      </c>
      <c r="B25" s="10" t="s">
        <v>63</v>
      </c>
      <c r="C25" s="11" t="s">
        <v>64</v>
      </c>
      <c r="D25" s="11" t="s">
        <v>54</v>
      </c>
      <c r="E25" s="12" t="s">
        <v>65</v>
      </c>
      <c r="F25" s="11" t="s">
        <v>66</v>
      </c>
      <c r="G25" s="13">
        <v>2869586</v>
      </c>
    </row>
    <row r="26" spans="1:8" x14ac:dyDescent="0.25">
      <c r="A26" s="10" t="s">
        <v>67</v>
      </c>
      <c r="B26" s="10" t="s">
        <v>79</v>
      </c>
      <c r="C26" s="10" t="s">
        <v>69</v>
      </c>
      <c r="D26" s="11" t="s">
        <v>54</v>
      </c>
      <c r="E26" s="11" t="s">
        <v>70</v>
      </c>
      <c r="F26" s="12" t="s">
        <v>71</v>
      </c>
      <c r="G26" s="17">
        <v>1670030.1150918026</v>
      </c>
      <c r="H26" s="15" t="s">
        <v>47</v>
      </c>
    </row>
    <row r="27" spans="1:8" x14ac:dyDescent="0.25">
      <c r="A27" s="10"/>
      <c r="B27" s="16" t="s">
        <v>77</v>
      </c>
      <c r="C27" s="10"/>
      <c r="D27" s="11"/>
      <c r="E27" s="11"/>
      <c r="F27" s="12"/>
      <c r="G27" s="18"/>
      <c r="H27" s="2"/>
    </row>
    <row r="28" spans="1:8" x14ac:dyDescent="0.25">
      <c r="A28" s="10"/>
      <c r="B28" s="16" t="s">
        <v>78</v>
      </c>
      <c r="C28" s="10"/>
      <c r="D28" s="11"/>
      <c r="E28" s="11"/>
      <c r="F28" s="12"/>
      <c r="G28" s="19"/>
      <c r="H28" s="2"/>
    </row>
    <row r="29" spans="1:8" x14ac:dyDescent="0.25">
      <c r="A29" s="10" t="s">
        <v>67</v>
      </c>
      <c r="B29" s="16" t="s">
        <v>68</v>
      </c>
      <c r="C29" s="10" t="s">
        <v>69</v>
      </c>
      <c r="D29" s="11" t="s">
        <v>54</v>
      </c>
      <c r="E29" s="11" t="s">
        <v>70</v>
      </c>
      <c r="F29" s="12" t="s">
        <v>71</v>
      </c>
      <c r="G29" s="13">
        <v>2087537.64</v>
      </c>
    </row>
    <row r="30" spans="1:8" x14ac:dyDescent="0.25">
      <c r="A30" s="10" t="s">
        <v>67</v>
      </c>
      <c r="B30" s="10" t="s">
        <v>68</v>
      </c>
      <c r="C30" s="11" t="s">
        <v>69</v>
      </c>
      <c r="D30" s="11" t="s">
        <v>54</v>
      </c>
      <c r="E30" s="12" t="s">
        <v>70</v>
      </c>
      <c r="F30" s="11" t="s">
        <v>71</v>
      </c>
      <c r="G30" s="13">
        <v>2505045.1726377038</v>
      </c>
    </row>
    <row r="31" spans="1:8" x14ac:dyDescent="0.25">
      <c r="A31" s="10" t="s">
        <v>67</v>
      </c>
      <c r="B31" s="10" t="s">
        <v>68</v>
      </c>
      <c r="C31" s="11" t="s">
        <v>69</v>
      </c>
      <c r="D31" s="11" t="s">
        <v>54</v>
      </c>
      <c r="E31" s="12" t="s">
        <v>70</v>
      </c>
      <c r="F31" s="11" t="s">
        <v>71</v>
      </c>
      <c r="G31" s="13">
        <v>2505047</v>
      </c>
    </row>
    <row r="32" spans="1:8" x14ac:dyDescent="0.25">
      <c r="A32" s="10">
        <v>63750</v>
      </c>
      <c r="B32" s="10" t="s">
        <v>3</v>
      </c>
      <c r="C32" s="11" t="s">
        <v>53</v>
      </c>
      <c r="D32" s="11" t="s">
        <v>54</v>
      </c>
      <c r="E32" s="12" t="s">
        <v>36</v>
      </c>
      <c r="F32" s="11" t="s">
        <v>55</v>
      </c>
      <c r="G32" s="13">
        <v>2981352.0244602039</v>
      </c>
    </row>
    <row r="33" spans="1:8" x14ac:dyDescent="0.25">
      <c r="A33" s="10" t="s">
        <v>72</v>
      </c>
      <c r="B33" s="10" t="s">
        <v>76</v>
      </c>
      <c r="C33" s="11" t="s">
        <v>73</v>
      </c>
      <c r="D33" s="11" t="s">
        <v>54</v>
      </c>
      <c r="E33" s="12" t="s">
        <v>36</v>
      </c>
      <c r="F33" s="11" t="s">
        <v>74</v>
      </c>
      <c r="G33" s="13">
        <v>5074231.1192690572</v>
      </c>
      <c r="H33" s="15" t="s">
        <v>33</v>
      </c>
    </row>
  </sheetData>
  <mergeCells count="2">
    <mergeCell ref="G26:G28"/>
    <mergeCell ref="G12:G14"/>
  </mergeCells>
  <pageMargins left="0.7" right="0.7" top="0.75" bottom="0.75" header="0.3" footer="0.3"/>
  <headerFooter>
    <oddFooter>&amp;R_x000D_&amp;1#&amp;"Aptos"&amp;10&amp;K000000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Цени</vt:lpstr>
      <vt:lpstr>ПБР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anguelova50@gmail.com</dc:creator>
  <cp:lastModifiedBy>Georgi Stoychev</cp:lastModifiedBy>
  <dcterms:created xsi:type="dcterms:W3CDTF">2026-03-17T10:15:20Z</dcterms:created>
  <dcterms:modified xsi:type="dcterms:W3CDTF">2026-03-18T13:42:18Z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080e56-8894-418a-9b19-f357e77b996f_Enabled">
    <vt:lpwstr>true</vt:lpwstr>
  </property>
  <property fmtid="{D5CDD505-2E9C-101B-9397-08002B2CF9AE}" pid="3" name="MSIP_Label_78080e56-8894-418a-9b19-f357e77b996f_SetDate">
    <vt:lpwstr>2026-03-18T08:37:29Z</vt:lpwstr>
  </property>
  <property fmtid="{D5CDD505-2E9C-101B-9397-08002B2CF9AE}" pid="4" name="MSIP_Label_78080e56-8894-418a-9b19-f357e77b996f_Method">
    <vt:lpwstr>Standard</vt:lpwstr>
  </property>
  <property fmtid="{D5CDD505-2E9C-101B-9397-08002B2CF9AE}" pid="5" name="MSIP_Label_78080e56-8894-418a-9b19-f357e77b996f_Name">
    <vt:lpwstr>Internal Use Unencrypted</vt:lpwstr>
  </property>
  <property fmtid="{D5CDD505-2E9C-101B-9397-08002B2CF9AE}" pid="6" name="MSIP_Label_78080e56-8894-418a-9b19-f357e77b996f_SiteId">
    <vt:lpwstr>6c7fadf5-6b9d-485a-85cb-f8112e9720ec</vt:lpwstr>
  </property>
  <property fmtid="{D5CDD505-2E9C-101B-9397-08002B2CF9AE}" pid="7" name="MSIP_Label_78080e56-8894-418a-9b19-f357e77b996f_ActionId">
    <vt:lpwstr>e582ef15-a384-4831-a519-0ce4492044b8</vt:lpwstr>
  </property>
  <property fmtid="{D5CDD505-2E9C-101B-9397-08002B2CF9AE}" pid="8" name="MSIP_Label_78080e56-8894-418a-9b19-f357e77b996f_ContentBits">
    <vt:lpwstr>2</vt:lpwstr>
  </property>
  <property fmtid="{D5CDD505-2E9C-101B-9397-08002B2CF9AE}" pid="9" name="MSIP_Label_78080e56-8894-418a-9b19-f357e77b996f_Tag">
    <vt:lpwstr>10, 3, 0, 1</vt:lpwstr>
  </property>
</Properties>
</file>