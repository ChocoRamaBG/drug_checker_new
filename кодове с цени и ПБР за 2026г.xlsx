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Stoychev\Downloads\"/>
    </mc:Choice>
  </mc:AlternateContent>
  <xr:revisionPtr revIDLastSave="0" documentId="13_ncr:1_{ECDBF70C-FEA1-4091-AC91-C65B3D87248A}" xr6:coauthVersionLast="47" xr6:coauthVersionMax="47" xr10:uidLastSave="{00000000-0000-0000-0000-000000000000}"/>
  <bookViews>
    <workbookView xWindow="-110" yWindow="-110" windowWidth="19420" windowHeight="11500" xr2:uid="{0DFA91F5-2E46-4ED3-B0FB-D20849BDC458}"/>
  </bookViews>
  <sheets>
    <sheet name="Цени 180326" sheetId="5" r:id="rId1"/>
    <sheet name="Цени" sheetId="1" r:id="rId2"/>
    <sheet name="ПБР" sheetId="2" r:id="rId3"/>
  </sheets>
  <definedNames>
    <definedName name="_xlnm._FilterDatabase" localSheetId="1" hidden="1">Цени!$A$1:$H$39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</calcChain>
</file>

<file path=xl/sharedStrings.xml><?xml version="1.0" encoding="utf-8"?>
<sst xmlns="http://schemas.openxmlformats.org/spreadsheetml/2006/main" count="519" uniqueCount="165">
  <si>
    <t>Код НЗОК</t>
  </si>
  <si>
    <t>Код на Съвета</t>
  </si>
  <si>
    <t>Цена търговец на едро с ДДС в евро</t>
  </si>
  <si>
    <t>LH721</t>
  </si>
  <si>
    <t>LH722</t>
  </si>
  <si>
    <t>LH773</t>
  </si>
  <si>
    <t>LH774</t>
  </si>
  <si>
    <t>CA291</t>
  </si>
  <si>
    <t>AF686</t>
  </si>
  <si>
    <t>LH770</t>
  </si>
  <si>
    <t>AF684</t>
  </si>
  <si>
    <t>LH777</t>
  </si>
  <si>
    <t>LH778</t>
  </si>
  <si>
    <t>LH779</t>
  </si>
  <si>
    <t>LH775</t>
  </si>
  <si>
    <t>LH776</t>
  </si>
  <si>
    <t>LH780</t>
  </si>
  <si>
    <t>LH781</t>
  </si>
  <si>
    <t>BH146</t>
  </si>
  <si>
    <t>BH147</t>
  </si>
  <si>
    <t>LH767</t>
  </si>
  <si>
    <t>LH768</t>
  </si>
  <si>
    <t>JF594</t>
  </si>
  <si>
    <t>LH772</t>
  </si>
  <si>
    <t>AF670</t>
  </si>
  <si>
    <t>AF671</t>
  </si>
  <si>
    <t>JF575</t>
  </si>
  <si>
    <t>LH678</t>
  </si>
  <si>
    <t>LH410</t>
  </si>
  <si>
    <t>LH411</t>
  </si>
  <si>
    <t>LH579</t>
  </si>
  <si>
    <t>CA290</t>
  </si>
  <si>
    <t>CA237</t>
  </si>
  <si>
    <t>CA238</t>
  </si>
  <si>
    <t>CA252</t>
  </si>
  <si>
    <t>CA251</t>
  </si>
  <si>
    <t>JF585</t>
  </si>
  <si>
    <t>LH718</t>
  </si>
  <si>
    <t>NG031</t>
  </si>
  <si>
    <t>NG058</t>
  </si>
  <si>
    <t>НЗОК</t>
  </si>
  <si>
    <t>Лек. Форма</t>
  </si>
  <si>
    <t>Брой в опак.</t>
  </si>
  <si>
    <t>Концентрация на лек. В-во</t>
  </si>
  <si>
    <t>ПБР</t>
  </si>
  <si>
    <t xml:space="preserve">Забележка </t>
  </si>
  <si>
    <t>Lyvdelzi</t>
  </si>
  <si>
    <t>Capsule, hard</t>
  </si>
  <si>
    <t>30 Bottle (HDPE)</t>
  </si>
  <si>
    <t>10 mg</t>
  </si>
  <si>
    <t>Cufence</t>
  </si>
  <si>
    <t>100 Bottle (glass)</t>
  </si>
  <si>
    <t>200 mg</t>
  </si>
  <si>
    <t>55312-55313</t>
  </si>
  <si>
    <t>BH146-BH147</t>
  </si>
  <si>
    <t>Veyvondi</t>
  </si>
  <si>
    <t xml:space="preserve">Powder and solvent for solution for injection  </t>
  </si>
  <si>
    <t>vial + vial + reconstitution device</t>
  </si>
  <si>
    <t xml:space="preserve">650 IU и 1300 </t>
  </si>
  <si>
    <t>за двата продукта заедно</t>
  </si>
  <si>
    <t>Evkeeza</t>
  </si>
  <si>
    <t>Concentrate for solution for infusion</t>
  </si>
  <si>
    <t>1 Vial</t>
  </si>
  <si>
    <t>150 mg/ml - 2.3 ml</t>
  </si>
  <si>
    <t>Hepcludex</t>
  </si>
  <si>
    <t>Powder for solution for injection</t>
  </si>
  <si>
    <t>2 mg</t>
  </si>
  <si>
    <t>30 Vial</t>
  </si>
  <si>
    <t>53839 - 53841</t>
  </si>
  <si>
    <t>LH777 - LH779</t>
  </si>
  <si>
    <t>Rubraca</t>
  </si>
  <si>
    <t>Film-coated tablet</t>
  </si>
  <si>
    <t>300 mg</t>
  </si>
  <si>
    <t>60 Bottle</t>
  </si>
  <si>
    <t>за трите продукта заедно</t>
  </si>
  <si>
    <t>54428 - 54429</t>
  </si>
  <si>
    <t>LH780 - LH781</t>
  </si>
  <si>
    <t>Sylvant</t>
  </si>
  <si>
    <t>Powder for concentrate for solution for infusion</t>
  </si>
  <si>
    <t>100 mg</t>
  </si>
  <si>
    <t>Tepkinly</t>
  </si>
  <si>
    <t>Solution for injection</t>
  </si>
  <si>
    <t>48 mg (60 mg/ml - 0.8 ml)</t>
  </si>
  <si>
    <t>Elahere</t>
  </si>
  <si>
    <t>5 mg/ml - 20 ml</t>
  </si>
  <si>
    <t>LH680</t>
  </si>
  <si>
    <t>Pemazyre</t>
  </si>
  <si>
    <t>Tablet</t>
  </si>
  <si>
    <t>14 Blister</t>
  </si>
  <si>
    <t>4,5 mg</t>
  </si>
  <si>
    <t>LF382</t>
  </si>
  <si>
    <t>Rystiggo</t>
  </si>
  <si>
    <t>X1 vial</t>
  </si>
  <si>
    <t>140 mg/ml - 2 ml</t>
  </si>
  <si>
    <t>63667, 63669, 63672</t>
  </si>
  <si>
    <t>LF383 - LF385</t>
  </si>
  <si>
    <t>Zilbrysq</t>
  </si>
  <si>
    <t>16.6 mg/0.416 ml (40 mg/ml)</t>
  </si>
  <si>
    <t>7 Pre-filled syringe</t>
  </si>
  <si>
    <t>63676, 63678</t>
  </si>
  <si>
    <t>LH724, LH725</t>
  </si>
  <si>
    <t>Elrexfio</t>
  </si>
  <si>
    <t>40 mg/ml - 1.9 ml и 1.9 ml</t>
  </si>
  <si>
    <t>Наименование</t>
  </si>
  <si>
    <t>LH723</t>
  </si>
  <si>
    <t>Givlaari</t>
  </si>
  <si>
    <t>Oxlumo</t>
  </si>
  <si>
    <t>Camzyos</t>
  </si>
  <si>
    <t>Beyonttra</t>
  </si>
  <si>
    <t>Vosevi</t>
  </si>
  <si>
    <t>Epclusa</t>
  </si>
  <si>
    <t>Inrebic</t>
  </si>
  <si>
    <t>Fruzaqla</t>
  </si>
  <si>
    <t>Qinlock</t>
  </si>
  <si>
    <t>Tepmetko</t>
  </si>
  <si>
    <t>Opdivo</t>
  </si>
  <si>
    <t>Columvi</t>
  </si>
  <si>
    <t>Talvey</t>
  </si>
  <si>
    <t>Vyloy</t>
  </si>
  <si>
    <t>Nubeqa</t>
  </si>
  <si>
    <t>Onpattro</t>
  </si>
  <si>
    <t>Amvuttra</t>
  </si>
  <si>
    <t>TABL. FILM. COAT.</t>
  </si>
  <si>
    <t>TABL</t>
  </si>
  <si>
    <t>Powder and solvent for solution for injection</t>
  </si>
  <si>
    <t>1 pre-filled syringe</t>
  </si>
  <si>
    <t>X1</t>
  </si>
  <si>
    <t>120 Bottle</t>
  </si>
  <si>
    <t>1 vial</t>
  </si>
  <si>
    <t>vial + 1 vial + reconstitution device</t>
  </si>
  <si>
    <t>28 Blister (PVC/PCTFE/alu)</t>
  </si>
  <si>
    <t>120 blister (PVC/PCTFE/alu)</t>
  </si>
  <si>
    <t>X28</t>
  </si>
  <si>
    <t>21 bottle (HDPE)</t>
  </si>
  <si>
    <t>90 bottle</t>
  </si>
  <si>
    <t>225 mg</t>
  </si>
  <si>
    <t>1 Vial (glass)</t>
  </si>
  <si>
    <t>250 mg</t>
  </si>
  <si>
    <t>112 (in blister)</t>
  </si>
  <si>
    <t>5 mg</t>
  </si>
  <si>
    <t>1 mg</t>
  </si>
  <si>
    <t>50 mg</t>
  </si>
  <si>
    <t>189 mg/ml-1 ml</t>
  </si>
  <si>
    <t>94.5 mg/0.5 ml</t>
  </si>
  <si>
    <t>650 IU</t>
  </si>
  <si>
    <t>1300 IU</t>
  </si>
  <si>
    <t>2,5 mg</t>
  </si>
  <si>
    <t>15 mg</t>
  </si>
  <si>
    <t>356 mg</t>
  </si>
  <si>
    <t>400 mg/100mg/100mg</t>
  </si>
  <si>
    <t>400 mg/100 mg</t>
  </si>
  <si>
    <t>60 Blister Al/PVCPE/PVDC/PE/PVC</t>
  </si>
  <si>
    <t>10 mg/ml - 10 ml</t>
  </si>
  <si>
    <t>10 mg/ml - 4 ml</t>
  </si>
  <si>
    <t>2.5 mg/2.5 ml (1 mg/ml)</t>
  </si>
  <si>
    <t>10 mg/10 ml (1 mg/ml)</t>
  </si>
  <si>
    <t>2 mg/ml -1.5 ml</t>
  </si>
  <si>
    <t>40 mg/ml - 1 ml</t>
  </si>
  <si>
    <t>100 mg (20 mg/ml)</t>
  </si>
  <si>
    <t>300 mg (20 mg/ml)</t>
  </si>
  <si>
    <t>400 mg</t>
  </si>
  <si>
    <t xml:space="preserve">2 mg/ml - 5 ml </t>
  </si>
  <si>
    <t>25 mg (50 mg/ml - 0.5 ml)</t>
  </si>
  <si>
    <t>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</si>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</sst>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4" fontId="1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BA22-9E49-4B9E-A574-87DDC649608F}">
  <sheetPr>
    <tabColor rgb="FF7030A0"/>
  </sheetPr>
  <dimension ref="A1:H62"/>
  <sheetViews>
    <sheetView tabSelected="1" workbookViewId="0">
      <selection activeCell="B2" sqref="B2"/>
    </sheetView>
  </sheetViews>
  <sheetFormatPr defaultRowHeight="14.5" x14ac:dyDescent="0.35"/>
  <cols>
    <col min="1" max="2" width="10.26953125" customWidth="1"/>
    <col min="3" max="3" width="14.81640625" customWidth="1"/>
  </cols>
  <sheetData>
    <row r="1" spans="1:8" ht="34.5" x14ac:dyDescent="0.35">
      <c r="A1" s="1" t="s">
        <v>0</v>
      </c>
      <c r="B1" s="1" t="s">
        <v>1</v>
      </c>
      <c r="C1" s="1" t="s">
        <v>2</v>
      </c>
      <c r="E1" s="1" t="s">
        <v>164</v>
      </c>
      <c r="F1" s="1" t="s">
        <v>41</v>
      </c>
      <c r="G1" s="1" t="s">
        <v>42</v>
      </c>
      <c r="H1" s="1" t="s">
        <v>43</v>
      </c>
    </row>
    <row r="2" spans="1:8" x14ac:dyDescent="0.35">
      <c r="A2" s="2" t="s">
        <v>4</v>
      </c>
      <c r="B2" s="2">
        <v>64344</v>
      </c>
      <c r="C2" s="3">
        <v>3720.13</v>
      </c>
      <c r="E2" t="s">
        <v>116</v>
      </c>
      <c r="F2" t="s">
        <v>61</v>
      </c>
      <c r="G2" t="s">
        <v>136</v>
      </c>
      <c r="H2" t="s">
        <v>155</v>
      </c>
    </row>
    <row r="3" spans="1:8" x14ac:dyDescent="0.35">
      <c r="A3" s="2" t="s">
        <v>104</v>
      </c>
      <c r="B3" s="2">
        <v>64339</v>
      </c>
      <c r="C3" s="3">
        <v>934.93</v>
      </c>
      <c r="E3" t="s">
        <v>116</v>
      </c>
      <c r="F3" t="s">
        <v>61</v>
      </c>
      <c r="G3" t="s">
        <v>136</v>
      </c>
      <c r="H3" t="s">
        <v>154</v>
      </c>
    </row>
    <row r="4" spans="1:8" x14ac:dyDescent="0.35">
      <c r="A4" s="2" t="s">
        <v>5</v>
      </c>
      <c r="B4" s="2">
        <v>64365</v>
      </c>
      <c r="C4" s="3">
        <v>247.37323796035443</v>
      </c>
      <c r="E4" t="s">
        <v>117</v>
      </c>
      <c r="F4" t="s">
        <v>81</v>
      </c>
      <c r="G4" t="s">
        <v>128</v>
      </c>
      <c r="H4" t="s">
        <v>156</v>
      </c>
    </row>
    <row r="5" spans="1:8" x14ac:dyDescent="0.35">
      <c r="A5" s="2" t="s">
        <v>6</v>
      </c>
      <c r="B5" s="2">
        <v>64366</v>
      </c>
      <c r="C5" s="3">
        <v>3222.1716611361931</v>
      </c>
      <c r="E5" t="s">
        <v>117</v>
      </c>
      <c r="F5" t="s">
        <v>81</v>
      </c>
      <c r="G5" t="s">
        <v>128</v>
      </c>
      <c r="H5" t="s">
        <v>157</v>
      </c>
    </row>
    <row r="6" spans="1:8" x14ac:dyDescent="0.35">
      <c r="A6" s="2" t="s">
        <v>9</v>
      </c>
      <c r="B6" s="2">
        <v>58112</v>
      </c>
      <c r="C6" s="3">
        <v>9006.1299999999992</v>
      </c>
      <c r="E6" t="s">
        <v>114</v>
      </c>
      <c r="F6" t="s">
        <v>71</v>
      </c>
      <c r="G6" t="s">
        <v>135</v>
      </c>
      <c r="H6" t="s">
        <v>151</v>
      </c>
    </row>
    <row r="7" spans="1:8" x14ac:dyDescent="0.35">
      <c r="A7" s="2" t="s">
        <v>10</v>
      </c>
      <c r="B7" s="2">
        <v>67477</v>
      </c>
      <c r="C7" s="3">
        <v>4314.1581834822045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35">
      <c r="A8" s="2" t="s">
        <v>14</v>
      </c>
      <c r="B8" s="2">
        <v>66188</v>
      </c>
      <c r="C8" s="3">
        <v>634.66999999999996</v>
      </c>
      <c r="E8" t="s">
        <v>118</v>
      </c>
      <c r="F8" t="s">
        <v>78</v>
      </c>
      <c r="G8" t="s">
        <v>128</v>
      </c>
      <c r="H8" t="s">
        <v>158</v>
      </c>
    </row>
    <row r="9" spans="1:8" x14ac:dyDescent="0.35">
      <c r="A9" s="2" t="s">
        <v>15</v>
      </c>
      <c r="B9" s="2">
        <v>67381</v>
      </c>
      <c r="C9" s="3">
        <v>1891.74</v>
      </c>
      <c r="E9" t="s">
        <v>118</v>
      </c>
      <c r="F9" t="s">
        <v>78</v>
      </c>
      <c r="G9" t="s">
        <v>128</v>
      </c>
      <c r="H9" t="s">
        <v>159</v>
      </c>
    </row>
    <row r="10" spans="1:8" x14ac:dyDescent="0.35">
      <c r="A10" s="2" t="s">
        <v>20</v>
      </c>
      <c r="B10" s="2">
        <v>65371</v>
      </c>
      <c r="C10" s="3">
        <v>1206.1528864983154</v>
      </c>
      <c r="E10" t="s">
        <v>112</v>
      </c>
      <c r="F10" t="s">
        <v>47</v>
      </c>
      <c r="G10" t="s">
        <v>133</v>
      </c>
      <c r="H10" t="s">
        <v>140</v>
      </c>
    </row>
    <row r="11" spans="1:8" x14ac:dyDescent="0.35">
      <c r="A11" s="2" t="s">
        <v>21</v>
      </c>
      <c r="B11" s="2">
        <v>65372</v>
      </c>
      <c r="C11" s="3">
        <v>4806.1334574068296</v>
      </c>
      <c r="E11" t="s">
        <v>112</v>
      </c>
      <c r="F11" t="s">
        <v>47</v>
      </c>
      <c r="G11" t="s">
        <v>133</v>
      </c>
      <c r="H11" t="s">
        <v>139</v>
      </c>
    </row>
    <row r="12" spans="1:8" x14ac:dyDescent="0.35">
      <c r="A12" s="2" t="s">
        <v>22</v>
      </c>
      <c r="B12" s="2">
        <v>48747</v>
      </c>
      <c r="C12" s="3">
        <v>5805.62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35">
      <c r="A13" s="2" t="s">
        <v>23</v>
      </c>
      <c r="B13" s="2">
        <v>66570</v>
      </c>
      <c r="C13" s="3">
        <v>3442.87</v>
      </c>
      <c r="E13" t="s">
        <v>83</v>
      </c>
      <c r="F13" t="s">
        <v>61</v>
      </c>
      <c r="G13" t="s">
        <v>62</v>
      </c>
      <c r="H13" t="s">
        <v>84</v>
      </c>
    </row>
    <row r="14" spans="1:8" x14ac:dyDescent="0.35">
      <c r="A14" s="2" t="s">
        <v>24</v>
      </c>
      <c r="B14" s="2">
        <v>48601</v>
      </c>
      <c r="C14" s="3">
        <v>41454.550000000003</v>
      </c>
      <c r="E14" t="s">
        <v>105</v>
      </c>
      <c r="F14" t="s">
        <v>81</v>
      </c>
      <c r="G14" t="s">
        <v>62</v>
      </c>
      <c r="H14" t="s">
        <v>142</v>
      </c>
    </row>
    <row r="15" spans="1:8" x14ac:dyDescent="0.35">
      <c r="A15" s="2" t="s">
        <v>25</v>
      </c>
      <c r="B15" s="2">
        <v>52087</v>
      </c>
      <c r="C15" s="3">
        <v>55008.46</v>
      </c>
      <c r="E15" t="s">
        <v>106</v>
      </c>
      <c r="F15" t="s">
        <v>81</v>
      </c>
      <c r="G15" t="s">
        <v>62</v>
      </c>
      <c r="H15" t="s">
        <v>143</v>
      </c>
    </row>
    <row r="16" spans="1:8" x14ac:dyDescent="0.35">
      <c r="A16" s="2" t="s">
        <v>26</v>
      </c>
      <c r="B16" s="2">
        <v>15967</v>
      </c>
      <c r="C16" s="3">
        <v>8646.1299999999992</v>
      </c>
      <c r="E16" t="s">
        <v>110</v>
      </c>
      <c r="F16" t="s">
        <v>123</v>
      </c>
      <c r="G16" t="s">
        <v>132</v>
      </c>
      <c r="H16" t="s">
        <v>150</v>
      </c>
    </row>
    <row r="17" spans="1:8" x14ac:dyDescent="0.35">
      <c r="A17" s="2" t="s">
        <v>27</v>
      </c>
      <c r="B17" s="2">
        <v>49301</v>
      </c>
      <c r="C17" s="3">
        <v>3680.38</v>
      </c>
      <c r="E17" t="s">
        <v>111</v>
      </c>
      <c r="F17" t="s">
        <v>47</v>
      </c>
      <c r="G17" t="s">
        <v>127</v>
      </c>
      <c r="H17" t="s">
        <v>79</v>
      </c>
    </row>
    <row r="18" spans="1:8" x14ac:dyDescent="0.35">
      <c r="A18" s="2" t="s">
        <v>28</v>
      </c>
      <c r="B18" s="2">
        <v>15972</v>
      </c>
      <c r="C18" s="3">
        <v>1196.03</v>
      </c>
      <c r="E18" t="s">
        <v>115</v>
      </c>
      <c r="F18" t="s">
        <v>61</v>
      </c>
      <c r="G18" t="s">
        <v>126</v>
      </c>
      <c r="H18" t="s">
        <v>152</v>
      </c>
    </row>
    <row r="19" spans="1:8" x14ac:dyDescent="0.35">
      <c r="A19" s="2" t="s">
        <v>29</v>
      </c>
      <c r="B19" s="2">
        <v>15971</v>
      </c>
      <c r="C19" s="3">
        <v>464.89</v>
      </c>
      <c r="E19" t="s">
        <v>115</v>
      </c>
      <c r="F19" t="s">
        <v>61</v>
      </c>
      <c r="G19" t="s">
        <v>126</v>
      </c>
      <c r="H19" t="s">
        <v>153</v>
      </c>
    </row>
    <row r="20" spans="1:8" x14ac:dyDescent="0.35">
      <c r="A20" s="2" t="s">
        <v>30</v>
      </c>
      <c r="B20" s="2">
        <v>17538</v>
      </c>
      <c r="C20" s="3">
        <v>3283.49</v>
      </c>
      <c r="E20" t="s">
        <v>119</v>
      </c>
      <c r="F20" t="s">
        <v>71</v>
      </c>
      <c r="G20" t="s">
        <v>138</v>
      </c>
      <c r="H20" t="s">
        <v>72</v>
      </c>
    </row>
    <row r="21" spans="1:8" x14ac:dyDescent="0.35">
      <c r="A21" s="2" t="s">
        <v>31</v>
      </c>
      <c r="B21" s="2">
        <v>67623</v>
      </c>
      <c r="C21" s="3">
        <v>10218.74</v>
      </c>
      <c r="E21" t="s">
        <v>108</v>
      </c>
      <c r="F21" t="s">
        <v>71</v>
      </c>
      <c r="G21" t="s">
        <v>131</v>
      </c>
      <c r="H21" t="s">
        <v>148</v>
      </c>
    </row>
    <row r="22" spans="1:8" x14ac:dyDescent="0.35">
      <c r="A22" s="2" t="s">
        <v>32</v>
      </c>
      <c r="B22" s="2">
        <v>62342</v>
      </c>
      <c r="C22" s="3">
        <v>1516.51</v>
      </c>
      <c r="E22" t="s">
        <v>107</v>
      </c>
      <c r="F22" t="s">
        <v>47</v>
      </c>
      <c r="G22" t="s">
        <v>130</v>
      </c>
      <c r="H22" t="s">
        <v>139</v>
      </c>
    </row>
    <row r="23" spans="1:8" x14ac:dyDescent="0.35">
      <c r="A23" s="2" t="s">
        <v>33</v>
      </c>
      <c r="B23" s="2">
        <v>62344</v>
      </c>
      <c r="C23" s="3">
        <v>1516.51</v>
      </c>
      <c r="E23" t="s">
        <v>107</v>
      </c>
      <c r="F23" t="s">
        <v>47</v>
      </c>
      <c r="G23" t="s">
        <v>130</v>
      </c>
      <c r="H23" t="s">
        <v>146</v>
      </c>
    </row>
    <row r="24" spans="1:8" x14ac:dyDescent="0.35">
      <c r="A24" s="2" t="s">
        <v>34</v>
      </c>
      <c r="B24" s="2">
        <v>62346</v>
      </c>
      <c r="C24" s="3">
        <v>1516.51</v>
      </c>
      <c r="E24" t="s">
        <v>107</v>
      </c>
      <c r="F24" t="s">
        <v>47</v>
      </c>
      <c r="G24" t="s">
        <v>130</v>
      </c>
      <c r="H24" t="s">
        <v>49</v>
      </c>
    </row>
    <row r="25" spans="1:8" x14ac:dyDescent="0.35">
      <c r="A25" s="2" t="s">
        <v>35</v>
      </c>
      <c r="B25" s="2">
        <v>62348</v>
      </c>
      <c r="C25" s="3">
        <v>1516.51</v>
      </c>
      <c r="E25" t="s">
        <v>107</v>
      </c>
      <c r="F25" t="s">
        <v>47</v>
      </c>
      <c r="G25" t="s">
        <v>130</v>
      </c>
      <c r="H25" t="s">
        <v>147</v>
      </c>
    </row>
    <row r="26" spans="1:8" x14ac:dyDescent="0.35">
      <c r="A26" s="2" t="s">
        <v>36</v>
      </c>
      <c r="B26" s="2">
        <v>16695</v>
      </c>
      <c r="C26" s="3">
        <v>12314.8</v>
      </c>
      <c r="E26" t="s">
        <v>109</v>
      </c>
      <c r="F26" t="s">
        <v>122</v>
      </c>
      <c r="G26" t="s">
        <v>132</v>
      </c>
      <c r="H26" t="s">
        <v>149</v>
      </c>
    </row>
    <row r="27" spans="1:8" x14ac:dyDescent="0.35">
      <c r="A27" s="2" t="s">
        <v>37</v>
      </c>
      <c r="B27" s="2">
        <v>53011</v>
      </c>
      <c r="C27" s="3">
        <v>22012.98</v>
      </c>
      <c r="E27" t="s">
        <v>113</v>
      </c>
      <c r="F27" t="s">
        <v>87</v>
      </c>
      <c r="G27" t="s">
        <v>134</v>
      </c>
      <c r="H27" t="s">
        <v>141</v>
      </c>
    </row>
    <row r="28" spans="1:8" x14ac:dyDescent="0.35">
      <c r="A28" s="2" t="s">
        <v>38</v>
      </c>
      <c r="B28" s="2">
        <v>17008</v>
      </c>
      <c r="C28" s="3">
        <v>8656.1299999999992</v>
      </c>
      <c r="E28" t="s">
        <v>120</v>
      </c>
      <c r="F28" t="s">
        <v>61</v>
      </c>
      <c r="G28" t="s">
        <v>128</v>
      </c>
      <c r="H28" t="s">
        <v>161</v>
      </c>
    </row>
    <row r="29" spans="1:8" x14ac:dyDescent="0.35">
      <c r="A29" s="2" t="s">
        <v>39</v>
      </c>
      <c r="B29" s="2">
        <v>62590</v>
      </c>
      <c r="C29" s="3">
        <v>78121.740000000005</v>
      </c>
      <c r="E29" t="s">
        <v>121</v>
      </c>
      <c r="F29" t="s">
        <v>81</v>
      </c>
      <c r="G29" t="s">
        <v>125</v>
      </c>
      <c r="H29" t="s">
        <v>162</v>
      </c>
    </row>
    <row r="30" spans="1:8" x14ac:dyDescent="0.35">
      <c r="A30" s="2"/>
      <c r="B30" s="2"/>
      <c r="C30" s="3"/>
    </row>
    <row r="31" spans="1:8" x14ac:dyDescent="0.35">
      <c r="A31" s="2"/>
      <c r="B31" s="2"/>
      <c r="C31" s="3"/>
    </row>
    <row r="32" spans="1:8" x14ac:dyDescent="0.35">
      <c r="A32" s="2"/>
      <c r="B32" s="2"/>
      <c r="C32" s="3"/>
    </row>
    <row r="33" spans="1:3" x14ac:dyDescent="0.35">
      <c r="A33" s="2"/>
      <c r="B33" s="2"/>
      <c r="C33" s="3"/>
    </row>
    <row r="34" spans="1:3" x14ac:dyDescent="0.35">
      <c r="A34" s="2"/>
      <c r="B34" s="2"/>
      <c r="C34" s="3"/>
    </row>
    <row r="35" spans="1:3" x14ac:dyDescent="0.35">
      <c r="A35" s="2"/>
      <c r="B35" s="2"/>
      <c r="C35" s="3"/>
    </row>
    <row r="36" spans="1:3" x14ac:dyDescent="0.35">
      <c r="A36" s="2"/>
      <c r="B36" s="2"/>
      <c r="C36" s="3"/>
    </row>
    <row r="37" spans="1:3" x14ac:dyDescent="0.35">
      <c r="A37" s="2"/>
      <c r="B37" s="2"/>
      <c r="C37" s="3"/>
    </row>
    <row r="38" spans="1:3" x14ac:dyDescent="0.35">
      <c r="A38" s="2"/>
      <c r="B38" s="2"/>
      <c r="C38" s="3"/>
    </row>
    <row r="39" spans="1:3" x14ac:dyDescent="0.35">
      <c r="A39" s="2"/>
      <c r="B39" s="2"/>
      <c r="C39" s="3"/>
    </row>
    <row r="40" spans="1:3" x14ac:dyDescent="0.35">
      <c r="A40" s="2"/>
      <c r="B40" s="2"/>
      <c r="C40" s="3"/>
    </row>
    <row r="41" spans="1:3" x14ac:dyDescent="0.35">
      <c r="A41" s="2"/>
      <c r="B41" s="2"/>
      <c r="C41" s="3"/>
    </row>
    <row r="42" spans="1:3" x14ac:dyDescent="0.35">
      <c r="A42" s="2"/>
      <c r="B42" s="2"/>
      <c r="C42" s="3"/>
    </row>
    <row r="43" spans="1:3" x14ac:dyDescent="0.35">
      <c r="A43" s="2"/>
      <c r="B43" s="2"/>
    </row>
    <row r="44" spans="1:3" x14ac:dyDescent="0.35">
      <c r="A44" s="2"/>
      <c r="B44" s="2"/>
    </row>
    <row r="45" spans="1:3" x14ac:dyDescent="0.35">
      <c r="A45" s="2"/>
      <c r="B45" s="2"/>
    </row>
    <row r="46" spans="1:3" x14ac:dyDescent="0.35">
      <c r="A46" s="2"/>
      <c r="B46" s="2"/>
    </row>
    <row r="47" spans="1:3" x14ac:dyDescent="0.35">
      <c r="A47" s="2"/>
      <c r="B47" s="2"/>
    </row>
    <row r="48" spans="1:3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</sheetData>
  <pageMargins left="0.7" right="0.7" top="0.75" bottom="0.75" header="0.3" footer="0.3"/>
  <headerFooter>
    <oddFooter>&amp;R_x000D_&amp;1#&amp;"Aptos"&amp;10&amp;K000000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FCF2-DF2E-4872-AD47-FAFAA3ABE93F}">
  <dimension ref="A1:L72"/>
  <sheetViews>
    <sheetView zoomScale="115" zoomScaleNormal="115" workbookViewId="0">
      <selection sqref="A1:XFD1048576"/>
    </sheetView>
  </sheetViews>
  <sheetFormatPr defaultRowHeight="14.5" x14ac:dyDescent="0.35"/>
  <cols>
    <col min="1" max="2" width="10.26953125" customWidth="1"/>
    <col min="3" max="3" width="14.81640625" customWidth="1"/>
  </cols>
  <sheetData>
    <row r="1" spans="1:12" ht="34.5" x14ac:dyDescent="0.35">
      <c r="A1" s="1" t="s">
        <v>0</v>
      </c>
      <c r="B1" s="1" t="s">
        <v>1</v>
      </c>
      <c r="C1" s="1" t="s">
        <v>2</v>
      </c>
      <c r="E1" s="1" t="s">
        <v>164</v>
      </c>
      <c r="F1" s="1" t="s">
        <v>41</v>
      </c>
      <c r="G1" s="1" t="s">
        <v>42</v>
      </c>
      <c r="H1" s="1" t="s">
        <v>43</v>
      </c>
    </row>
    <row r="2" spans="1:12" x14ac:dyDescent="0.35">
      <c r="A2" s="2" t="s">
        <v>3</v>
      </c>
      <c r="B2" s="2">
        <v>63750</v>
      </c>
      <c r="C2" s="3">
        <v>6822.31</v>
      </c>
      <c r="E2" t="s">
        <v>80</v>
      </c>
      <c r="F2" t="s">
        <v>81</v>
      </c>
      <c r="G2" t="s">
        <v>62</v>
      </c>
      <c r="H2" t="s">
        <v>82</v>
      </c>
      <c r="L2" t="s">
        <v>163</v>
      </c>
    </row>
    <row r="3" spans="1:12" x14ac:dyDescent="0.35">
      <c r="A3" s="2" t="s">
        <v>4</v>
      </c>
      <c r="B3" s="2">
        <v>64344</v>
      </c>
      <c r="C3" s="3">
        <v>3720.13</v>
      </c>
      <c r="E3" t="s">
        <v>116</v>
      </c>
      <c r="F3" t="s">
        <v>61</v>
      </c>
      <c r="G3" t="s">
        <v>136</v>
      </c>
      <c r="H3" t="s">
        <v>155</v>
      </c>
    </row>
    <row r="4" spans="1:12" x14ac:dyDescent="0.35">
      <c r="A4" s="2" t="s">
        <v>104</v>
      </c>
      <c r="B4" s="2">
        <v>64339</v>
      </c>
      <c r="C4" s="3">
        <v>934.93</v>
      </c>
      <c r="E4" t="s">
        <v>116</v>
      </c>
      <c r="F4" t="s">
        <v>61</v>
      </c>
      <c r="G4" t="s">
        <v>136</v>
      </c>
      <c r="H4" t="s">
        <v>154</v>
      </c>
    </row>
    <row r="5" spans="1:12" x14ac:dyDescent="0.35">
      <c r="A5" s="2" t="s">
        <v>5</v>
      </c>
      <c r="B5" s="2">
        <v>64365</v>
      </c>
      <c r="C5" s="3">
        <v>247.37323796035443</v>
      </c>
      <c r="E5" t="s">
        <v>117</v>
      </c>
      <c r="F5" t="s">
        <v>81</v>
      </c>
      <c r="G5" t="s">
        <v>128</v>
      </c>
      <c r="H5" t="s">
        <v>156</v>
      </c>
    </row>
    <row r="6" spans="1:12" x14ac:dyDescent="0.35">
      <c r="A6" s="2" t="s">
        <v>6</v>
      </c>
      <c r="B6" s="2">
        <v>64366</v>
      </c>
      <c r="C6" s="3">
        <v>3222.1716611361931</v>
      </c>
      <c r="E6" t="s">
        <v>117</v>
      </c>
      <c r="F6" t="s">
        <v>81</v>
      </c>
      <c r="G6" t="s">
        <v>128</v>
      </c>
      <c r="H6" t="s">
        <v>157</v>
      </c>
    </row>
    <row r="7" spans="1:12" x14ac:dyDescent="0.35">
      <c r="A7" s="2" t="s">
        <v>7</v>
      </c>
      <c r="B7" s="2">
        <v>48152</v>
      </c>
      <c r="C7" s="3">
        <v>8406.1344799905928</v>
      </c>
      <c r="E7" t="s">
        <v>60</v>
      </c>
      <c r="F7" t="s">
        <v>61</v>
      </c>
      <c r="G7" t="s">
        <v>62</v>
      </c>
      <c r="H7" t="s">
        <v>63</v>
      </c>
      <c r="J7" t="s">
        <v>163</v>
      </c>
      <c r="L7" t="s">
        <v>163</v>
      </c>
    </row>
    <row r="8" spans="1:12" x14ac:dyDescent="0.35">
      <c r="A8" s="2" t="s">
        <v>8</v>
      </c>
      <c r="B8" s="2">
        <v>47111</v>
      </c>
      <c r="C8" s="3">
        <v>2636.2720686358225</v>
      </c>
      <c r="E8" t="s">
        <v>50</v>
      </c>
      <c r="F8" t="s">
        <v>47</v>
      </c>
      <c r="G8" t="s">
        <v>51</v>
      </c>
      <c r="H8" t="s">
        <v>52</v>
      </c>
      <c r="L8" t="s">
        <v>163</v>
      </c>
    </row>
    <row r="9" spans="1:12" x14ac:dyDescent="0.35">
      <c r="A9" s="2" t="s">
        <v>9</v>
      </c>
      <c r="B9" s="2">
        <v>58112</v>
      </c>
      <c r="C9" s="3">
        <v>9006.1299999999992</v>
      </c>
      <c r="E9" t="s">
        <v>114</v>
      </c>
      <c r="F9" t="s">
        <v>71</v>
      </c>
      <c r="G9" t="s">
        <v>135</v>
      </c>
      <c r="H9" t="s">
        <v>151</v>
      </c>
    </row>
    <row r="10" spans="1:12" x14ac:dyDescent="0.35">
      <c r="A10" s="2" t="s">
        <v>10</v>
      </c>
      <c r="B10" s="2">
        <v>67477</v>
      </c>
      <c r="C10" s="3">
        <v>4314.1581834822045</v>
      </c>
      <c r="E10" t="s">
        <v>46</v>
      </c>
      <c r="F10" t="s">
        <v>47</v>
      </c>
      <c r="G10" t="s">
        <v>48</v>
      </c>
      <c r="H10" t="s">
        <v>49</v>
      </c>
    </row>
    <row r="11" spans="1:12" x14ac:dyDescent="0.35">
      <c r="A11" s="2" t="s">
        <v>11</v>
      </c>
      <c r="B11" s="2">
        <v>53841</v>
      </c>
      <c r="C11" s="3">
        <v>2487.7622288235689</v>
      </c>
      <c r="E11" t="s">
        <v>70</v>
      </c>
      <c r="F11" t="s">
        <v>71</v>
      </c>
      <c r="G11" t="s">
        <v>72</v>
      </c>
      <c r="H11" t="s">
        <v>73</v>
      </c>
      <c r="L11" t="s">
        <v>163</v>
      </c>
    </row>
    <row r="12" spans="1:12" x14ac:dyDescent="0.35">
      <c r="A12" s="2" t="s">
        <v>12</v>
      </c>
      <c r="B12" s="2">
        <v>53840</v>
      </c>
      <c r="C12" s="3">
        <v>2487.7622288235689</v>
      </c>
      <c r="E12" t="s">
        <v>70</v>
      </c>
      <c r="F12" t="s">
        <v>71</v>
      </c>
      <c r="G12" t="s">
        <v>137</v>
      </c>
      <c r="H12" t="s">
        <v>73</v>
      </c>
      <c r="L12" t="s">
        <v>163</v>
      </c>
    </row>
    <row r="13" spans="1:12" x14ac:dyDescent="0.35">
      <c r="A13" s="2" t="s">
        <v>13</v>
      </c>
      <c r="B13" s="2">
        <v>53839</v>
      </c>
      <c r="C13" s="3">
        <v>2487.7622288235689</v>
      </c>
      <c r="E13" t="s">
        <v>70</v>
      </c>
      <c r="F13" t="s">
        <v>71</v>
      </c>
      <c r="G13" t="s">
        <v>52</v>
      </c>
      <c r="H13" t="s">
        <v>73</v>
      </c>
      <c r="L13" t="s">
        <v>163</v>
      </c>
    </row>
    <row r="14" spans="1:12" x14ac:dyDescent="0.35">
      <c r="A14" s="2" t="s">
        <v>14</v>
      </c>
      <c r="B14" s="2">
        <v>66188</v>
      </c>
      <c r="C14" s="3">
        <v>634.66999999999996</v>
      </c>
      <c r="E14" t="s">
        <v>118</v>
      </c>
      <c r="F14" t="s">
        <v>78</v>
      </c>
      <c r="G14" t="s">
        <v>128</v>
      </c>
      <c r="H14" t="s">
        <v>158</v>
      </c>
    </row>
    <row r="15" spans="1:12" x14ac:dyDescent="0.35">
      <c r="A15" s="2" t="s">
        <v>15</v>
      </c>
      <c r="B15" s="2">
        <v>67381</v>
      </c>
      <c r="C15" s="3">
        <v>1891.74</v>
      </c>
      <c r="E15" t="s">
        <v>118</v>
      </c>
      <c r="F15" t="s">
        <v>78</v>
      </c>
      <c r="G15" t="s">
        <v>128</v>
      </c>
      <c r="H15" t="s">
        <v>159</v>
      </c>
    </row>
    <row r="16" spans="1:12" x14ac:dyDescent="0.35">
      <c r="A16" s="2" t="s">
        <v>16</v>
      </c>
      <c r="B16" s="2">
        <v>54428</v>
      </c>
      <c r="C16" s="3">
        <v>538.20000000000005</v>
      </c>
      <c r="E16" t="s">
        <v>77</v>
      </c>
      <c r="F16" t="s">
        <v>78</v>
      </c>
      <c r="G16" t="s">
        <v>62</v>
      </c>
      <c r="H16" t="s">
        <v>79</v>
      </c>
      <c r="L16" t="s">
        <v>163</v>
      </c>
    </row>
    <row r="17" spans="1:12" x14ac:dyDescent="0.35">
      <c r="A17" s="2" t="s">
        <v>17</v>
      </c>
      <c r="B17" s="2">
        <v>54429</v>
      </c>
      <c r="C17" s="3">
        <v>2134.42</v>
      </c>
      <c r="E17" t="s">
        <v>77</v>
      </c>
      <c r="F17" t="s">
        <v>78</v>
      </c>
      <c r="G17" t="s">
        <v>62</v>
      </c>
      <c r="H17" t="s">
        <v>160</v>
      </c>
      <c r="L17" t="s">
        <v>163</v>
      </c>
    </row>
    <row r="18" spans="1:12" x14ac:dyDescent="0.35">
      <c r="A18" s="2" t="s">
        <v>18</v>
      </c>
      <c r="B18" s="2">
        <v>55312</v>
      </c>
      <c r="C18" s="3">
        <v>739.54</v>
      </c>
      <c r="E18" t="s">
        <v>55</v>
      </c>
      <c r="F18" t="s">
        <v>124</v>
      </c>
      <c r="G18" t="s">
        <v>57</v>
      </c>
      <c r="H18" t="s">
        <v>144</v>
      </c>
      <c r="L18" t="s">
        <v>163</v>
      </c>
    </row>
    <row r="19" spans="1:12" x14ac:dyDescent="0.35">
      <c r="A19" s="2" t="s">
        <v>19</v>
      </c>
      <c r="B19" s="2">
        <v>55313</v>
      </c>
      <c r="C19" s="3">
        <v>1472.94</v>
      </c>
      <c r="E19" t="s">
        <v>55</v>
      </c>
      <c r="F19" t="s">
        <v>124</v>
      </c>
      <c r="G19" t="s">
        <v>129</v>
      </c>
      <c r="H19" t="s">
        <v>145</v>
      </c>
      <c r="L19" t="s">
        <v>163</v>
      </c>
    </row>
    <row r="20" spans="1:12" x14ac:dyDescent="0.35">
      <c r="A20" s="2" t="s">
        <v>20</v>
      </c>
      <c r="B20" s="2">
        <v>65371</v>
      </c>
      <c r="C20" s="3">
        <v>1206.1528864983154</v>
      </c>
      <c r="E20" t="s">
        <v>112</v>
      </c>
      <c r="F20" t="s">
        <v>47</v>
      </c>
      <c r="G20" t="s">
        <v>133</v>
      </c>
      <c r="H20" t="s">
        <v>140</v>
      </c>
    </row>
    <row r="21" spans="1:12" x14ac:dyDescent="0.35">
      <c r="A21" s="2" t="s">
        <v>21</v>
      </c>
      <c r="B21" s="2">
        <v>65372</v>
      </c>
      <c r="C21" s="3">
        <v>4806.1334574068296</v>
      </c>
      <c r="E21" t="s">
        <v>112</v>
      </c>
      <c r="F21" t="s">
        <v>47</v>
      </c>
      <c r="G21" t="s">
        <v>133</v>
      </c>
      <c r="H21" t="s">
        <v>139</v>
      </c>
    </row>
    <row r="22" spans="1:12" x14ac:dyDescent="0.35">
      <c r="A22" s="2" t="s">
        <v>22</v>
      </c>
      <c r="B22" s="2">
        <v>48747</v>
      </c>
      <c r="C22" s="3">
        <v>5805.62</v>
      </c>
      <c r="E22" t="s">
        <v>64</v>
      </c>
      <c r="F22" t="s">
        <v>65</v>
      </c>
      <c r="G22" t="s">
        <v>66</v>
      </c>
      <c r="H22" t="s">
        <v>67</v>
      </c>
    </row>
    <row r="23" spans="1:12" x14ac:dyDescent="0.35">
      <c r="A23" s="2" t="s">
        <v>23</v>
      </c>
      <c r="B23" s="2">
        <v>66570</v>
      </c>
      <c r="C23" s="3">
        <v>3442.87</v>
      </c>
      <c r="E23" t="s">
        <v>83</v>
      </c>
      <c r="F23" t="s">
        <v>61</v>
      </c>
      <c r="G23" t="s">
        <v>62</v>
      </c>
      <c r="H23" t="s">
        <v>84</v>
      </c>
    </row>
    <row r="24" spans="1:12" x14ac:dyDescent="0.35">
      <c r="A24" s="2" t="s">
        <v>24</v>
      </c>
      <c r="B24" s="2">
        <v>48601</v>
      </c>
      <c r="C24" s="3">
        <v>41454.550000000003</v>
      </c>
      <c r="E24" t="s">
        <v>105</v>
      </c>
      <c r="F24" t="s">
        <v>81</v>
      </c>
      <c r="G24" t="s">
        <v>62</v>
      </c>
      <c r="H24" t="s">
        <v>142</v>
      </c>
    </row>
    <row r="25" spans="1:12" x14ac:dyDescent="0.35">
      <c r="A25" s="2" t="s">
        <v>25</v>
      </c>
      <c r="B25" s="2">
        <v>52087</v>
      </c>
      <c r="C25" s="3">
        <v>55008.46</v>
      </c>
      <c r="E25" t="s">
        <v>106</v>
      </c>
      <c r="F25" t="s">
        <v>81</v>
      </c>
      <c r="G25" t="s">
        <v>62</v>
      </c>
      <c r="H25" t="s">
        <v>143</v>
      </c>
    </row>
    <row r="26" spans="1:12" x14ac:dyDescent="0.35">
      <c r="A26" s="2" t="s">
        <v>26</v>
      </c>
      <c r="B26" s="2">
        <v>15967</v>
      </c>
      <c r="C26" s="3">
        <v>8646.1299999999992</v>
      </c>
      <c r="E26" t="s">
        <v>110</v>
      </c>
      <c r="F26" t="s">
        <v>123</v>
      </c>
      <c r="G26" t="s">
        <v>132</v>
      </c>
      <c r="H26" t="s">
        <v>150</v>
      </c>
    </row>
    <row r="27" spans="1:12" x14ac:dyDescent="0.35">
      <c r="A27" s="2" t="s">
        <v>27</v>
      </c>
      <c r="B27" s="2">
        <v>49301</v>
      </c>
      <c r="C27" s="3">
        <v>3680.38</v>
      </c>
      <c r="E27" t="s">
        <v>111</v>
      </c>
      <c r="F27" t="s">
        <v>47</v>
      </c>
      <c r="G27" t="s">
        <v>127</v>
      </c>
      <c r="H27" t="s">
        <v>79</v>
      </c>
    </row>
    <row r="28" spans="1:12" x14ac:dyDescent="0.35">
      <c r="A28" s="2" t="s">
        <v>28</v>
      </c>
      <c r="B28" s="2">
        <v>15972</v>
      </c>
      <c r="C28" s="3">
        <v>1196.03</v>
      </c>
      <c r="E28" t="s">
        <v>115</v>
      </c>
      <c r="F28" t="s">
        <v>61</v>
      </c>
      <c r="G28" t="s">
        <v>126</v>
      </c>
      <c r="H28" t="s">
        <v>152</v>
      </c>
    </row>
    <row r="29" spans="1:12" x14ac:dyDescent="0.35">
      <c r="A29" s="2" t="s">
        <v>29</v>
      </c>
      <c r="B29" s="2">
        <v>15971</v>
      </c>
      <c r="C29" s="3">
        <v>464.89</v>
      </c>
      <c r="E29" t="s">
        <v>115</v>
      </c>
      <c r="F29" t="s">
        <v>61</v>
      </c>
      <c r="G29" t="s">
        <v>126</v>
      </c>
      <c r="H29" t="s">
        <v>153</v>
      </c>
    </row>
    <row r="30" spans="1:12" x14ac:dyDescent="0.35">
      <c r="A30" s="2" t="s">
        <v>30</v>
      </c>
      <c r="B30" s="2">
        <v>17538</v>
      </c>
      <c r="C30" s="3">
        <v>3283.49</v>
      </c>
      <c r="E30" t="s">
        <v>119</v>
      </c>
      <c r="F30" t="s">
        <v>71</v>
      </c>
      <c r="G30" t="s">
        <v>138</v>
      </c>
      <c r="H30" t="s">
        <v>72</v>
      </c>
    </row>
    <row r="31" spans="1:12" x14ac:dyDescent="0.35">
      <c r="A31" s="2" t="s">
        <v>31</v>
      </c>
      <c r="B31" s="2">
        <v>67623</v>
      </c>
      <c r="C31" s="3">
        <v>10218.74</v>
      </c>
      <c r="E31" t="s">
        <v>108</v>
      </c>
      <c r="F31" t="s">
        <v>71</v>
      </c>
      <c r="G31" t="s">
        <v>131</v>
      </c>
      <c r="H31" t="s">
        <v>148</v>
      </c>
    </row>
    <row r="32" spans="1:12" x14ac:dyDescent="0.35">
      <c r="A32" s="2" t="s">
        <v>32</v>
      </c>
      <c r="B32" s="2">
        <v>62342</v>
      </c>
      <c r="C32" s="3">
        <v>1516.51</v>
      </c>
      <c r="E32" t="s">
        <v>107</v>
      </c>
      <c r="F32" t="s">
        <v>47</v>
      </c>
      <c r="G32" t="s">
        <v>130</v>
      </c>
      <c r="H32" t="s">
        <v>139</v>
      </c>
    </row>
    <row r="33" spans="1:8" x14ac:dyDescent="0.35">
      <c r="A33" s="2" t="s">
        <v>33</v>
      </c>
      <c r="B33" s="2">
        <v>62344</v>
      </c>
      <c r="C33" s="3">
        <v>1516.51</v>
      </c>
      <c r="E33" t="s">
        <v>107</v>
      </c>
      <c r="F33" t="s">
        <v>47</v>
      </c>
      <c r="G33" t="s">
        <v>130</v>
      </c>
      <c r="H33" t="s">
        <v>146</v>
      </c>
    </row>
    <row r="34" spans="1:8" x14ac:dyDescent="0.35">
      <c r="A34" s="2" t="s">
        <v>34</v>
      </c>
      <c r="B34" s="2">
        <v>62346</v>
      </c>
      <c r="C34" s="3">
        <v>1516.51</v>
      </c>
      <c r="E34" t="s">
        <v>107</v>
      </c>
      <c r="F34" t="s">
        <v>47</v>
      </c>
      <c r="G34" t="s">
        <v>130</v>
      </c>
      <c r="H34" t="s">
        <v>49</v>
      </c>
    </row>
    <row r="35" spans="1:8" x14ac:dyDescent="0.35">
      <c r="A35" s="2" t="s">
        <v>35</v>
      </c>
      <c r="B35" s="2">
        <v>62348</v>
      </c>
      <c r="C35" s="3">
        <v>1516.51</v>
      </c>
      <c r="E35" t="s">
        <v>107</v>
      </c>
      <c r="F35" t="s">
        <v>47</v>
      </c>
      <c r="G35" t="s">
        <v>130</v>
      </c>
      <c r="H35" t="s">
        <v>147</v>
      </c>
    </row>
    <row r="36" spans="1:8" x14ac:dyDescent="0.35">
      <c r="A36" s="2" t="s">
        <v>36</v>
      </c>
      <c r="B36" s="2">
        <v>16695</v>
      </c>
      <c r="C36" s="3">
        <v>12314.8</v>
      </c>
      <c r="E36" t="s">
        <v>109</v>
      </c>
      <c r="F36" t="s">
        <v>122</v>
      </c>
      <c r="G36" t="s">
        <v>132</v>
      </c>
      <c r="H36" t="s">
        <v>149</v>
      </c>
    </row>
    <row r="37" spans="1:8" x14ac:dyDescent="0.35">
      <c r="A37" s="2" t="s">
        <v>37</v>
      </c>
      <c r="B37" s="2">
        <v>53011</v>
      </c>
      <c r="C37" s="3">
        <v>22012.98</v>
      </c>
      <c r="E37" t="s">
        <v>113</v>
      </c>
      <c r="F37" t="s">
        <v>87</v>
      </c>
      <c r="G37" t="s">
        <v>134</v>
      </c>
      <c r="H37" t="s">
        <v>141</v>
      </c>
    </row>
    <row r="38" spans="1:8" x14ac:dyDescent="0.35">
      <c r="A38" s="2" t="s">
        <v>38</v>
      </c>
      <c r="B38" s="2">
        <v>17008</v>
      </c>
      <c r="C38" s="3">
        <v>8656.1299999999992</v>
      </c>
      <c r="E38" t="s">
        <v>120</v>
      </c>
      <c r="F38" t="s">
        <v>61</v>
      </c>
      <c r="G38" t="s">
        <v>128</v>
      </c>
      <c r="H38" t="s">
        <v>161</v>
      </c>
    </row>
    <row r="39" spans="1:8" x14ac:dyDescent="0.35">
      <c r="A39" s="2" t="s">
        <v>39</v>
      </c>
      <c r="B39" s="2">
        <v>62590</v>
      </c>
      <c r="C39" s="3">
        <v>78121.740000000005</v>
      </c>
      <c r="E39" t="s">
        <v>121</v>
      </c>
      <c r="F39" t="s">
        <v>81</v>
      </c>
      <c r="G39" t="s">
        <v>125</v>
      </c>
      <c r="H39" t="s">
        <v>162</v>
      </c>
    </row>
    <row r="40" spans="1:8" x14ac:dyDescent="0.35">
      <c r="A40" s="2"/>
      <c r="B40" s="2"/>
      <c r="C40" s="3"/>
    </row>
    <row r="41" spans="1:8" x14ac:dyDescent="0.35">
      <c r="A41" s="2"/>
      <c r="B41" s="2"/>
      <c r="C41" s="3"/>
    </row>
    <row r="42" spans="1:8" x14ac:dyDescent="0.35">
      <c r="A42" s="2"/>
      <c r="B42" s="2"/>
      <c r="C42" s="3"/>
    </row>
    <row r="43" spans="1:8" x14ac:dyDescent="0.35">
      <c r="A43" s="2"/>
      <c r="B43" s="2"/>
      <c r="C43" s="3"/>
    </row>
    <row r="44" spans="1:8" x14ac:dyDescent="0.35">
      <c r="A44" s="2"/>
      <c r="B44" s="2"/>
      <c r="C44" s="3"/>
    </row>
    <row r="45" spans="1:8" x14ac:dyDescent="0.35">
      <c r="A45" s="2"/>
      <c r="B45" s="2"/>
      <c r="C45" s="3"/>
    </row>
    <row r="46" spans="1:8" x14ac:dyDescent="0.35">
      <c r="A46" s="2"/>
      <c r="B46" s="2"/>
      <c r="C46" s="3"/>
    </row>
    <row r="47" spans="1:8" x14ac:dyDescent="0.35">
      <c r="A47" s="2"/>
      <c r="B47" s="2"/>
      <c r="C47" s="3"/>
    </row>
    <row r="48" spans="1:8" x14ac:dyDescent="0.35">
      <c r="A48" s="2"/>
      <c r="B48" s="2"/>
      <c r="C48" s="3"/>
    </row>
    <row r="49" spans="1:3" x14ac:dyDescent="0.35">
      <c r="A49" s="2"/>
      <c r="B49" s="2"/>
      <c r="C49" s="3"/>
    </row>
    <row r="50" spans="1:3" x14ac:dyDescent="0.35">
      <c r="A50" s="2"/>
      <c r="B50" s="2"/>
      <c r="C50" s="3"/>
    </row>
    <row r="51" spans="1:3" x14ac:dyDescent="0.35">
      <c r="A51" s="2"/>
      <c r="B51" s="2"/>
      <c r="C51" s="3"/>
    </row>
    <row r="52" spans="1:3" x14ac:dyDescent="0.35">
      <c r="A52" s="2"/>
      <c r="B52" s="2"/>
      <c r="C52" s="3"/>
    </row>
    <row r="53" spans="1:3" x14ac:dyDescent="0.35">
      <c r="A53" s="2"/>
      <c r="B53" s="2"/>
    </row>
    <row r="54" spans="1:3" x14ac:dyDescent="0.35">
      <c r="A54" s="2"/>
      <c r="B54" s="2"/>
    </row>
    <row r="55" spans="1:3" x14ac:dyDescent="0.35">
      <c r="A55" s="2"/>
      <c r="B55" s="2"/>
    </row>
    <row r="56" spans="1:3" x14ac:dyDescent="0.35">
      <c r="A56" s="2"/>
      <c r="B56" s="2"/>
    </row>
    <row r="57" spans="1:3" x14ac:dyDescent="0.35">
      <c r="A57" s="2"/>
      <c r="B57" s="2"/>
    </row>
    <row r="58" spans="1:3" x14ac:dyDescent="0.35">
      <c r="A58" s="2"/>
      <c r="B58" s="2"/>
    </row>
    <row r="59" spans="1:3" x14ac:dyDescent="0.35">
      <c r="A59" s="2"/>
      <c r="B59" s="2"/>
    </row>
    <row r="60" spans="1:3" x14ac:dyDescent="0.35">
      <c r="A60" s="2"/>
      <c r="B60" s="2"/>
    </row>
    <row r="61" spans="1:3" x14ac:dyDescent="0.35">
      <c r="A61" s="2"/>
      <c r="B61" s="2"/>
    </row>
    <row r="62" spans="1:3" x14ac:dyDescent="0.35">
      <c r="A62" s="2"/>
      <c r="B62" s="2"/>
    </row>
    <row r="63" spans="1:3" x14ac:dyDescent="0.35">
      <c r="A63" s="2"/>
      <c r="B63" s="2"/>
    </row>
    <row r="64" spans="1:3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</sheetData>
  <autoFilter ref="A1:H39" xr:uid="{3099FCF2-DF2E-4872-AD47-FAFAA3ABE93F}"/>
  <pageMargins left="0.7" right="0.7" top="0.75" bottom="0.75" header="0.3" footer="0.3"/>
  <headerFooter>
    <oddFooter>&amp;R_x000D_&amp;1#&amp;"Aptos"&amp;10&amp;K000000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8BEF-7E64-40B4-91B0-1F44F1758434}">
  <dimension ref="A1:H29"/>
  <sheetViews>
    <sheetView workbookViewId="0">
      <selection activeCell="C24" sqref="C24:C25"/>
    </sheetView>
  </sheetViews>
  <sheetFormatPr defaultRowHeight="14.5" x14ac:dyDescent="0.35"/>
  <cols>
    <col min="1" max="1" width="12" customWidth="1"/>
    <col min="2" max="2" width="11.54296875" bestFit="1" customWidth="1"/>
    <col min="3" max="3" width="11" customWidth="1"/>
    <col min="5" max="5" width="21.26953125" customWidth="1"/>
    <col min="6" max="6" width="18.453125" customWidth="1"/>
    <col min="7" max="7" width="11.26953125" customWidth="1"/>
  </cols>
  <sheetData>
    <row r="1" spans="1:8" ht="23" x14ac:dyDescent="0.35">
      <c r="A1" s="4" t="s">
        <v>40</v>
      </c>
      <c r="B1" s="4" t="s">
        <v>1</v>
      </c>
      <c r="C1" s="4" t="s">
        <v>103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</row>
    <row r="2" spans="1:8" x14ac:dyDescent="0.35">
      <c r="A2" s="5">
        <v>67477</v>
      </c>
      <c r="B2" s="6" t="s">
        <v>10</v>
      </c>
      <c r="C2" s="7" t="s">
        <v>46</v>
      </c>
      <c r="D2" s="7" t="s">
        <v>47</v>
      </c>
      <c r="E2" s="8" t="s">
        <v>48</v>
      </c>
      <c r="F2" s="7" t="s">
        <v>49</v>
      </c>
      <c r="G2" s="9">
        <v>284734.44010982552</v>
      </c>
    </row>
    <row r="3" spans="1:8" x14ac:dyDescent="0.35">
      <c r="A3" s="10">
        <v>67477</v>
      </c>
      <c r="B3" s="10" t="s">
        <v>10</v>
      </c>
      <c r="C3" s="11" t="s">
        <v>46</v>
      </c>
      <c r="D3" s="11" t="s">
        <v>47</v>
      </c>
      <c r="E3" s="12" t="s">
        <v>48</v>
      </c>
      <c r="F3" s="11" t="s">
        <v>49</v>
      </c>
      <c r="G3" s="13">
        <v>577773.63</v>
      </c>
    </row>
    <row r="4" spans="1:8" x14ac:dyDescent="0.35">
      <c r="A4" s="10">
        <v>67477</v>
      </c>
      <c r="B4" s="10" t="s">
        <v>10</v>
      </c>
      <c r="C4" s="11" t="s">
        <v>46</v>
      </c>
      <c r="D4" s="11" t="s">
        <v>47</v>
      </c>
      <c r="E4" s="12" t="s">
        <v>48</v>
      </c>
      <c r="F4" s="11" t="s">
        <v>49</v>
      </c>
      <c r="G4" s="13">
        <v>577775</v>
      </c>
    </row>
    <row r="5" spans="1:8" x14ac:dyDescent="0.35">
      <c r="A5" s="10">
        <v>47111</v>
      </c>
      <c r="B5" s="14" t="s">
        <v>8</v>
      </c>
      <c r="C5" s="11" t="s">
        <v>50</v>
      </c>
      <c r="D5" s="11" t="s">
        <v>47</v>
      </c>
      <c r="E5" s="12" t="s">
        <v>51</v>
      </c>
      <c r="F5" s="11" t="s">
        <v>52</v>
      </c>
      <c r="G5" s="13">
        <v>494287.84710327588</v>
      </c>
    </row>
    <row r="6" spans="1:8" x14ac:dyDescent="0.35">
      <c r="A6" s="10" t="s">
        <v>53</v>
      </c>
      <c r="B6" s="14" t="s">
        <v>54</v>
      </c>
      <c r="C6" s="11" t="s">
        <v>55</v>
      </c>
      <c r="D6" s="11" t="s">
        <v>56</v>
      </c>
      <c r="E6" s="12" t="s">
        <v>57</v>
      </c>
      <c r="F6" s="11" t="s">
        <v>58</v>
      </c>
      <c r="G6" s="13">
        <v>50711.462652684539</v>
      </c>
      <c r="H6" s="15" t="s">
        <v>59</v>
      </c>
    </row>
    <row r="7" spans="1:8" x14ac:dyDescent="0.35">
      <c r="A7" s="10">
        <v>48152</v>
      </c>
      <c r="B7" s="14" t="s">
        <v>7</v>
      </c>
      <c r="C7" s="11" t="s">
        <v>60</v>
      </c>
      <c r="D7" s="11" t="s">
        <v>61</v>
      </c>
      <c r="E7" s="12" t="s">
        <v>62</v>
      </c>
      <c r="F7" s="11" t="s">
        <v>63</v>
      </c>
      <c r="G7" s="13">
        <v>940991.190440887</v>
      </c>
    </row>
    <row r="8" spans="1:8" x14ac:dyDescent="0.35">
      <c r="A8" s="10">
        <v>48152</v>
      </c>
      <c r="B8" s="10" t="s">
        <v>7</v>
      </c>
      <c r="C8" s="11" t="s">
        <v>60</v>
      </c>
      <c r="D8" s="11" t="s">
        <v>61</v>
      </c>
      <c r="E8" s="12" t="s">
        <v>62</v>
      </c>
      <c r="F8" s="11" t="s">
        <v>63</v>
      </c>
      <c r="G8" s="13">
        <v>940993</v>
      </c>
    </row>
    <row r="9" spans="1:8" x14ac:dyDescent="0.35">
      <c r="A9" s="10">
        <v>48747</v>
      </c>
      <c r="B9" s="14" t="s">
        <v>22</v>
      </c>
      <c r="C9" s="11" t="s">
        <v>64</v>
      </c>
      <c r="D9" s="11" t="s">
        <v>65</v>
      </c>
      <c r="E9" s="12" t="s">
        <v>66</v>
      </c>
      <c r="F9" s="11" t="s">
        <v>67</v>
      </c>
      <c r="G9" s="13">
        <v>260655.17</v>
      </c>
    </row>
    <row r="10" spans="1:8" x14ac:dyDescent="0.35">
      <c r="A10" s="10">
        <v>48747</v>
      </c>
      <c r="B10" s="10" t="s">
        <v>22</v>
      </c>
      <c r="C10" s="11" t="s">
        <v>64</v>
      </c>
      <c r="D10" s="11" t="s">
        <v>65</v>
      </c>
      <c r="E10" s="12" t="s">
        <v>66</v>
      </c>
      <c r="F10" s="11" t="s">
        <v>67</v>
      </c>
      <c r="G10" s="13">
        <v>649120.23</v>
      </c>
    </row>
    <row r="11" spans="1:8" x14ac:dyDescent="0.35">
      <c r="A11" s="10">
        <v>48747</v>
      </c>
      <c r="B11" s="10" t="s">
        <v>22</v>
      </c>
      <c r="C11" s="11" t="s">
        <v>64</v>
      </c>
      <c r="D11" s="11" t="s">
        <v>65</v>
      </c>
      <c r="E11" s="12" t="s">
        <v>66</v>
      </c>
      <c r="F11" s="11" t="s">
        <v>67</v>
      </c>
      <c r="G11" s="13">
        <v>649122</v>
      </c>
    </row>
    <row r="12" spans="1:8" x14ac:dyDescent="0.35">
      <c r="A12" s="10" t="s">
        <v>68</v>
      </c>
      <c r="B12" s="14" t="s">
        <v>69</v>
      </c>
      <c r="C12" s="11" t="s">
        <v>70</v>
      </c>
      <c r="D12" s="11" t="s">
        <v>71</v>
      </c>
      <c r="E12" s="12" t="s">
        <v>72</v>
      </c>
      <c r="F12" s="11" t="s">
        <v>73</v>
      </c>
      <c r="G12" s="13">
        <v>1081339.6256320847</v>
      </c>
      <c r="H12" s="15" t="s">
        <v>74</v>
      </c>
    </row>
    <row r="13" spans="1:8" x14ac:dyDescent="0.35">
      <c r="A13" s="10" t="s">
        <v>75</v>
      </c>
      <c r="B13" s="14" t="s">
        <v>76</v>
      </c>
      <c r="C13" s="11" t="s">
        <v>77</v>
      </c>
      <c r="D13" s="11" t="s">
        <v>78</v>
      </c>
      <c r="E13" s="12" t="s">
        <v>62</v>
      </c>
      <c r="F13" s="11" t="s">
        <v>79</v>
      </c>
      <c r="G13" s="13">
        <v>225125.90562574458</v>
      </c>
      <c r="H13" s="15" t="s">
        <v>59</v>
      </c>
    </row>
    <row r="14" spans="1:8" x14ac:dyDescent="0.35">
      <c r="A14" s="10" t="s">
        <v>75</v>
      </c>
      <c r="B14" s="10" t="s">
        <v>76</v>
      </c>
      <c r="C14" s="11" t="s">
        <v>77</v>
      </c>
      <c r="D14" s="11" t="s">
        <v>78</v>
      </c>
      <c r="E14" s="12" t="s">
        <v>62</v>
      </c>
      <c r="F14" s="11" t="s">
        <v>79</v>
      </c>
      <c r="G14" s="13">
        <v>281407.38203218073</v>
      </c>
    </row>
    <row r="15" spans="1:8" x14ac:dyDescent="0.35">
      <c r="A15" s="10" t="s">
        <v>75</v>
      </c>
      <c r="B15" s="10" t="s">
        <v>76</v>
      </c>
      <c r="C15" s="11" t="s">
        <v>77</v>
      </c>
      <c r="D15" s="11" t="s">
        <v>78</v>
      </c>
      <c r="E15" s="12" t="s">
        <v>62</v>
      </c>
      <c r="F15" s="11" t="s">
        <v>79</v>
      </c>
      <c r="G15" s="13">
        <v>337688.85843861685</v>
      </c>
    </row>
    <row r="16" spans="1:8" x14ac:dyDescent="0.35">
      <c r="A16" s="10" t="s">
        <v>75</v>
      </c>
      <c r="B16" s="10" t="s">
        <v>76</v>
      </c>
      <c r="C16" s="11" t="s">
        <v>77</v>
      </c>
      <c r="D16" s="11" t="s">
        <v>78</v>
      </c>
      <c r="E16" s="12" t="s">
        <v>62</v>
      </c>
      <c r="F16" s="11" t="s">
        <v>79</v>
      </c>
      <c r="G16" s="13">
        <v>337690</v>
      </c>
    </row>
    <row r="17" spans="1:8" x14ac:dyDescent="0.35">
      <c r="A17" s="10">
        <v>63750</v>
      </c>
      <c r="B17" s="14" t="s">
        <v>3</v>
      </c>
      <c r="C17" s="11" t="s">
        <v>80</v>
      </c>
      <c r="D17" s="11" t="s">
        <v>81</v>
      </c>
      <c r="E17" s="12" t="s">
        <v>62</v>
      </c>
      <c r="F17" s="11" t="s">
        <v>82</v>
      </c>
      <c r="G17" s="13">
        <v>2981812.1871532807</v>
      </c>
    </row>
    <row r="18" spans="1:8" x14ac:dyDescent="0.35">
      <c r="A18" s="10">
        <v>66570</v>
      </c>
      <c r="B18" s="14" t="s">
        <v>23</v>
      </c>
      <c r="C18" s="11" t="s">
        <v>83</v>
      </c>
      <c r="D18" s="11" t="s">
        <v>61</v>
      </c>
      <c r="E18" s="12" t="s">
        <v>62</v>
      </c>
      <c r="F18" s="11" t="s">
        <v>84</v>
      </c>
      <c r="G18" s="13">
        <v>5271027.3694544006</v>
      </c>
    </row>
    <row r="19" spans="1:8" x14ac:dyDescent="0.35">
      <c r="A19" s="10">
        <v>52144</v>
      </c>
      <c r="B19" s="14" t="s">
        <v>85</v>
      </c>
      <c r="C19" s="11" t="s">
        <v>86</v>
      </c>
      <c r="D19" s="11" t="s">
        <v>87</v>
      </c>
      <c r="E19" s="12" t="s">
        <v>88</v>
      </c>
      <c r="F19" s="11" t="s">
        <v>89</v>
      </c>
      <c r="G19" s="13">
        <v>750315</v>
      </c>
    </row>
    <row r="20" spans="1:8" x14ac:dyDescent="0.35">
      <c r="A20" s="10">
        <v>63613</v>
      </c>
      <c r="B20" s="14" t="s">
        <v>90</v>
      </c>
      <c r="C20" s="11" t="s">
        <v>91</v>
      </c>
      <c r="D20" s="11" t="s">
        <v>81</v>
      </c>
      <c r="E20" s="12" t="s">
        <v>92</v>
      </c>
      <c r="F20" s="11" t="s">
        <v>93</v>
      </c>
      <c r="G20" s="13">
        <v>1913056.3494782266</v>
      </c>
    </row>
    <row r="21" spans="1:8" x14ac:dyDescent="0.35">
      <c r="A21" s="10">
        <v>63613</v>
      </c>
      <c r="B21" s="10" t="s">
        <v>90</v>
      </c>
      <c r="C21" s="11" t="s">
        <v>91</v>
      </c>
      <c r="D21" s="11" t="s">
        <v>81</v>
      </c>
      <c r="E21" s="12" t="s">
        <v>92</v>
      </c>
      <c r="F21" s="11" t="s">
        <v>93</v>
      </c>
      <c r="G21" s="13">
        <f>G20*1.25</f>
        <v>2391320.4368477832</v>
      </c>
    </row>
    <row r="22" spans="1:8" x14ac:dyDescent="0.35">
      <c r="A22" s="10">
        <v>63613</v>
      </c>
      <c r="B22" s="10" t="s">
        <v>90</v>
      </c>
      <c r="C22" s="11" t="s">
        <v>91</v>
      </c>
      <c r="D22" s="11" t="s">
        <v>81</v>
      </c>
      <c r="E22" s="12" t="s">
        <v>92</v>
      </c>
      <c r="F22" s="11" t="s">
        <v>93</v>
      </c>
      <c r="G22" s="13">
        <f>G20*1.5</f>
        <v>2869584.5242173402</v>
      </c>
    </row>
    <row r="23" spans="1:8" x14ac:dyDescent="0.35">
      <c r="A23" s="10">
        <v>63613</v>
      </c>
      <c r="B23" s="10" t="s">
        <v>90</v>
      </c>
      <c r="C23" s="11" t="s">
        <v>91</v>
      </c>
      <c r="D23" s="11" t="s">
        <v>81</v>
      </c>
      <c r="E23" s="12" t="s">
        <v>92</v>
      </c>
      <c r="F23" s="11" t="s">
        <v>93</v>
      </c>
      <c r="G23" s="13">
        <v>2869586</v>
      </c>
    </row>
    <row r="24" spans="1:8" x14ac:dyDescent="0.35">
      <c r="A24" s="10" t="s">
        <v>94</v>
      </c>
      <c r="B24" s="10" t="s">
        <v>95</v>
      </c>
      <c r="C24" s="17" t="s">
        <v>96</v>
      </c>
      <c r="D24" s="11" t="s">
        <v>81</v>
      </c>
      <c r="E24" s="11" t="s">
        <v>97</v>
      </c>
      <c r="F24" s="12" t="s">
        <v>98</v>
      </c>
      <c r="G24" s="13">
        <v>1670030.1150918026</v>
      </c>
      <c r="H24" s="15" t="s">
        <v>74</v>
      </c>
    </row>
    <row r="25" spans="1:8" x14ac:dyDescent="0.35">
      <c r="A25" s="10" t="s">
        <v>94</v>
      </c>
      <c r="B25" s="16" t="s">
        <v>95</v>
      </c>
      <c r="C25" s="17" t="s">
        <v>96</v>
      </c>
      <c r="D25" s="11" t="s">
        <v>81</v>
      </c>
      <c r="E25" s="11" t="s">
        <v>97</v>
      </c>
      <c r="F25" s="12" t="s">
        <v>98</v>
      </c>
      <c r="G25" s="13">
        <v>2087537.64</v>
      </c>
    </row>
    <row r="26" spans="1:8" x14ac:dyDescent="0.35">
      <c r="A26" s="10" t="s">
        <v>94</v>
      </c>
      <c r="B26" s="10" t="s">
        <v>95</v>
      </c>
      <c r="C26" s="11" t="s">
        <v>96</v>
      </c>
      <c r="D26" s="11" t="s">
        <v>81</v>
      </c>
      <c r="E26" s="12" t="s">
        <v>97</v>
      </c>
      <c r="F26" s="11" t="s">
        <v>98</v>
      </c>
      <c r="G26" s="13">
        <v>2505045.1726377038</v>
      </c>
    </row>
    <row r="27" spans="1:8" x14ac:dyDescent="0.35">
      <c r="A27" s="10" t="s">
        <v>94</v>
      </c>
      <c r="B27" s="10" t="s">
        <v>95</v>
      </c>
      <c r="C27" s="11" t="s">
        <v>96</v>
      </c>
      <c r="D27" s="11" t="s">
        <v>81</v>
      </c>
      <c r="E27" s="12" t="s">
        <v>97</v>
      </c>
      <c r="F27" s="11" t="s">
        <v>98</v>
      </c>
      <c r="G27" s="13">
        <v>2505047</v>
      </c>
    </row>
    <row r="28" spans="1:8" x14ac:dyDescent="0.35">
      <c r="A28" s="10">
        <v>63750</v>
      </c>
      <c r="B28" s="10" t="s">
        <v>3</v>
      </c>
      <c r="C28" s="11" t="s">
        <v>80</v>
      </c>
      <c r="D28" s="11" t="s">
        <v>81</v>
      </c>
      <c r="E28" s="12" t="s">
        <v>62</v>
      </c>
      <c r="F28" s="11" t="s">
        <v>82</v>
      </c>
      <c r="G28" s="13">
        <v>2981352.0244602039</v>
      </c>
    </row>
    <row r="29" spans="1:8" x14ac:dyDescent="0.35">
      <c r="A29" s="10" t="s">
        <v>99</v>
      </c>
      <c r="B29" s="10" t="s">
        <v>100</v>
      </c>
      <c r="C29" s="11" t="s">
        <v>101</v>
      </c>
      <c r="D29" s="11" t="s">
        <v>81</v>
      </c>
      <c r="E29" s="12" t="s">
        <v>62</v>
      </c>
      <c r="F29" s="11" t="s">
        <v>102</v>
      </c>
      <c r="G29" s="13">
        <v>5074231.1192690572</v>
      </c>
      <c r="H29" s="15" t="s">
        <v>59</v>
      </c>
    </row>
  </sheetData>
  <pageMargins left="0.7" right="0.7" top="0.75" bottom="0.75" header="0.3" footer="0.3"/>
  <headerFooter>
    <oddFooter>&amp;R_x000D_&amp;1#&amp;"Aptos"&amp;10&amp;K000000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Цени 180326</vt:lpstr>
      <vt:lpstr>Цени</vt:lpstr>
      <vt:lpstr>ПБР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anguelova50@gmail.com</dc:creator>
  <cp:lastModifiedBy>Georgi Stoychev</cp:lastModifiedBy>
  <dcterms:created xsi:type="dcterms:W3CDTF">2026-03-17T10:15:20Z</dcterms:created>
  <dcterms:modified xsi:type="dcterms:W3CDTF">2026-03-20T11:24:29Z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80e56-8894-418a-9b19-f357e77b996f_Enabled">
    <vt:lpwstr>true</vt:lpwstr>
  </property>
  <property fmtid="{D5CDD505-2E9C-101B-9397-08002B2CF9AE}" pid="3" name="MSIP_Label_78080e56-8894-418a-9b19-f357e77b996f_SetDate">
    <vt:lpwstr>2026-03-20T11:24:29Z</vt:lpwstr>
  </property>
  <property fmtid="{D5CDD505-2E9C-101B-9397-08002B2CF9AE}" pid="4" name="MSIP_Label_78080e56-8894-418a-9b19-f357e77b996f_Method">
    <vt:lpwstr>Standard</vt:lpwstr>
  </property>
  <property fmtid="{D5CDD505-2E9C-101B-9397-08002B2CF9AE}" pid="5" name="MSIP_Label_78080e56-8894-418a-9b19-f357e77b996f_Name">
    <vt:lpwstr>Internal Use Unencrypted</vt:lpwstr>
  </property>
  <property fmtid="{D5CDD505-2E9C-101B-9397-08002B2CF9AE}" pid="6" name="MSIP_Label_78080e56-8894-418a-9b19-f357e77b996f_SiteId">
    <vt:lpwstr>6c7fadf5-6b9d-485a-85cb-f8112e9720ec</vt:lpwstr>
  </property>
  <property fmtid="{D5CDD505-2E9C-101B-9397-08002B2CF9AE}" pid="7" name="MSIP_Label_78080e56-8894-418a-9b19-f357e77b996f_ActionId">
    <vt:lpwstr>c7a03ffc-08b8-42e7-ab94-1b848a6637f0</vt:lpwstr>
  </property>
  <property fmtid="{D5CDD505-2E9C-101B-9397-08002B2CF9AE}" pid="8" name="MSIP_Label_78080e56-8894-418a-9b19-f357e77b996f_ContentBits">
    <vt:lpwstr>2</vt:lpwstr>
  </property>
  <property fmtid="{D5CDD505-2E9C-101B-9397-08002B2CF9AE}" pid="9" name="MSIP_Label_78080e56-8894-418a-9b19-f357e77b996f_Tag">
    <vt:lpwstr>10, 3, 0, 1</vt:lpwstr>
  </property>
</Properties>
</file>